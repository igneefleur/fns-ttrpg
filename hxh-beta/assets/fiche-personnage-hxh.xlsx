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che" sheetId="1" state="visible" r:id="rId1"/>
    <sheet name="Barèmes" sheetId="2" state="hidden" r:id="rId2"/>
    <sheet name="Référe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\%"/>
  </numFmts>
  <fonts count="8">
    <font>
      <name val="Calibri"/>
      <family val="2"/>
      <color theme="1"/>
      <sz val="11"/>
      <scheme val="minor"/>
    </font>
    <font>
      <name val="Calibri"/>
      <b val="1"/>
      <color rgb="001D1D1D"/>
      <sz val="10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color rgb="001D1D1D"/>
      <sz val="10"/>
    </font>
    <font>
      <name val="Calibri"/>
      <b val="1"/>
      <color rgb="00FFFFFF"/>
      <sz val="18"/>
    </font>
    <font>
      <name val="Calibri"/>
      <i val="1"/>
      <color rgb="00555555"/>
      <sz val="8"/>
    </font>
    <font>
      <name val="Calibri"/>
      <color rgb="FF1D1D1D"/>
      <sz val="10"/>
    </font>
  </fonts>
  <fills count="10">
    <fill>
      <patternFill/>
    </fill>
    <fill>
      <patternFill patternType="gray125"/>
    </fill>
    <fill>
      <patternFill patternType="solid">
        <fgColor rgb="00FAF6EB"/>
      </patternFill>
    </fill>
    <fill>
      <patternFill patternType="solid">
        <fgColor rgb="0063755E"/>
      </patternFill>
    </fill>
    <fill>
      <patternFill patternType="solid">
        <fgColor rgb="0082997B"/>
      </patternFill>
    </fill>
    <fill>
      <patternFill patternType="solid">
        <fgColor rgb="00D6E2D0"/>
      </patternFill>
    </fill>
    <fill>
      <patternFill patternType="solid">
        <fgColor rgb="00E9F0E6"/>
      </patternFill>
    </fill>
    <fill>
      <patternFill patternType="solid">
        <fgColor rgb="00667861"/>
      </patternFill>
    </fill>
    <fill>
      <patternFill patternType="solid">
        <fgColor rgb="00F2E9CE"/>
      </patternFill>
    </fill>
    <fill>
      <patternFill patternType="solid">
        <fgColor rgb="00FFFFFF"/>
      </patternFill>
    </fill>
  </fills>
  <borders count="10">
    <border>
      <left/>
      <right/>
      <top/>
      <bottom/>
      <diagonal/>
    </border>
    <border>
      <left style="thin">
        <color rgb="009AA89A"/>
      </left>
      <right style="thin">
        <color rgb="009AA89A"/>
      </right>
      <top style="thin">
        <color rgb="009AA89A"/>
      </top>
      <bottom style="thin">
        <color rgb="009AA89A"/>
      </bottom>
    </border>
    <border>
      <left/>
      <right/>
      <top style="thin">
        <color rgb="009AA89A"/>
      </top>
      <bottom/>
      <diagonal/>
    </border>
    <border>
      <left/>
      <right style="thin">
        <color rgb="009AA89A"/>
      </right>
      <top style="thin">
        <color rgb="009AA89A"/>
      </top>
      <bottom/>
      <diagonal/>
    </border>
    <border>
      <left/>
      <right/>
      <top style="thin">
        <color rgb="009AA89A"/>
      </top>
      <bottom style="thin">
        <color rgb="009AA89A"/>
      </bottom>
      <diagonal/>
    </border>
    <border>
      <left/>
      <right style="thin">
        <color rgb="009AA89A"/>
      </right>
      <top style="thin">
        <color rgb="009AA89A"/>
      </top>
      <bottom style="thin">
        <color rgb="009AA89A"/>
      </bottom>
      <diagonal/>
    </border>
    <border>
      <left style="thin">
        <color rgb="009AA89A"/>
      </left>
      <right/>
      <top/>
      <bottom/>
      <diagonal/>
    </border>
    <border>
      <left style="thin">
        <color rgb="009AA89A"/>
      </left>
      <right style="thin">
        <color rgb="009AA89A"/>
      </right>
      <top/>
      <bottom/>
      <diagonal/>
    </border>
    <border>
      <left style="thin">
        <color rgb="009AA89A"/>
      </left>
      <right style="thin">
        <color rgb="009AA89A"/>
      </right>
      <top/>
      <bottom style="thin">
        <color rgb="009AA89A"/>
      </bottom>
      <diagonal/>
    </border>
    <border/>
  </borders>
  <cellStyleXfs count="1">
    <xf numFmtId="0" fontId="0" fillId="0" borderId="0"/>
  </cellStyleXfs>
  <cellXfs count="31">
    <xf numFmtId="0" fontId="0" fillId="0" borderId="0" pivotButton="0" quotePrefix="0" xfId="0"/>
    <xf numFmtId="0" fontId="5" fillId="7" borderId="1" applyAlignment="1" pivotButton="0" quotePrefix="0" xfId="0">
      <alignment horizontal="left" vertical="center"/>
    </xf>
    <xf numFmtId="0" fontId="0" fillId="7" borderId="0" pivotButton="0" quotePrefix="0" xfId="0"/>
    <xf numFmtId="0" fontId="6" fillId="8" borderId="1" applyAlignment="1" pivotButton="0" quotePrefix="0" xfId="0">
      <alignment horizontal="left" vertical="center"/>
    </xf>
    <xf numFmtId="0" fontId="0" fillId="8" borderId="0" pivotButton="0" quotePrefix="0" xfId="0"/>
    <xf numFmtId="0" fontId="2" fillId="3" borderId="1" applyAlignment="1" pivotButton="0" quotePrefix="0" xfId="0">
      <alignment horizontal="left" vertical="center"/>
    </xf>
    <xf numFmtId="0" fontId="0" fillId="3" borderId="1" pivotButton="0" quotePrefix="0" xfId="0"/>
    <xf numFmtId="0" fontId="1" fillId="2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0" fontId="4" fillId="9" borderId="1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164" fontId="4" fillId="2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left" vertical="center"/>
    </xf>
    <xf numFmtId="0" fontId="0" fillId="0" borderId="8" pivotButton="0" quotePrefix="0" xfId="0"/>
    <xf numFmtId="0" fontId="3" fillId="3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6" fillId="8" borderId="0" applyAlignment="1" pivotButton="0" quotePrefix="0" xfId="0">
      <alignment horizontal="left" vertical="center" wrapText="1"/>
    </xf>
    <xf numFmtId="0" fontId="1" fillId="2" borderId="0" applyAlignment="1" pivotButton="0" quotePrefix="0" xfId="0">
      <alignment horizontal="left" vertical="center"/>
    </xf>
    <xf numFmtId="0" fontId="7" fillId="0" borderId="9" pivotButton="0" quotePrefix="0" xfId="0"/>
    <xf numFmtId="0" fontId="7" fillId="0" borderId="9" applyAlignment="1" pivotButton="0" quotePrefix="0" xfId="0">
      <alignment horizontal="left" vertical="center"/>
    </xf>
    <xf numFmtId="0" fontId="7" fillId="0" borderId="9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4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10" customWidth="1" min="3" max="3"/>
    <col width="14" customWidth="1" min="4" max="4"/>
    <col width="3" customWidth="1" min="5" max="5"/>
    <col width="22" customWidth="1" min="6" max="6"/>
    <col width="12" customWidth="1" min="7" max="7"/>
    <col width="10" customWidth="1" min="8" max="8"/>
    <col width="14" customWidth="1" min="9" max="9"/>
    <col width="3" customWidth="1" min="10" max="10"/>
    <col width="22" customWidth="1" min="11" max="11"/>
    <col width="12" customWidth="1" min="12" max="12"/>
    <col width="10" customWidth="1" min="13" max="13"/>
    <col width="14" customWidth="1" min="14" max="14"/>
  </cols>
  <sheetData>
    <row r="1" ht="28" customHeight="1">
      <c r="A1" s="1" t="inlineStr">
        <is>
          <t>FICHE DE PERSONNAGE — Hunter × Hunter (JDR)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10" t="n"/>
    </row>
    <row r="2">
      <c r="A2" s="3" t="inlineStr">
        <is>
          <t>Légende : cellules BLANCHES = à remplir (saisie) ;  cellules BEIGES = calculées automatiquement (ne pas écrire dedans).</t>
        </is>
      </c>
      <c r="B2" s="9" t="n"/>
      <c r="C2" s="9" t="n"/>
      <c r="D2" s="9" t="n"/>
      <c r="E2" s="9" t="n"/>
      <c r="F2" s="9" t="n"/>
      <c r="G2" s="9" t="n"/>
      <c r="H2" s="9" t="n"/>
      <c r="I2" s="9" t="n"/>
      <c r="J2" s="9" t="n"/>
      <c r="K2" s="9" t="n"/>
      <c r="L2" s="9" t="n"/>
      <c r="M2" s="9" t="n"/>
      <c r="N2" s="10" t="n"/>
    </row>
    <row r="4" ht="20" customHeight="1">
      <c r="A4" s="5" t="inlineStr">
        <is>
          <t>1 · Identité</t>
        </is>
      </c>
      <c r="B4" s="9" t="n"/>
      <c r="C4" s="9" t="n"/>
      <c r="D4" s="9" t="n"/>
      <c r="E4" s="9" t="n"/>
      <c r="F4" s="9" t="n"/>
      <c r="G4" s="9" t="n"/>
      <c r="H4" s="9" t="n"/>
      <c r="I4" s="9" t="n"/>
      <c r="J4" s="9" t="n"/>
      <c r="K4" s="9" t="n"/>
      <c r="L4" s="9" t="n"/>
      <c r="M4" s="9" t="n"/>
      <c r="N4" s="10" t="n"/>
    </row>
    <row r="5">
      <c r="A5" s="7" t="inlineStr">
        <is>
          <t>Nom</t>
        </is>
      </c>
      <c r="B5" s="8" t="inlineStr">
        <is>
          <t>Gon</t>
        </is>
      </c>
      <c r="C5" s="9" t="n"/>
      <c r="D5" s="10" t="n"/>
      <c r="F5" s="7" t="inlineStr">
        <is>
          <t>Classe</t>
        </is>
      </c>
      <c r="G5" s="8" t="inlineStr">
        <is>
          <t>Combattant</t>
        </is>
      </c>
      <c r="H5" s="9" t="n"/>
      <c r="I5" s="10" t="n"/>
    </row>
    <row r="6">
      <c r="A6" s="7" t="inlineStr">
        <is>
          <t>Éclat</t>
        </is>
      </c>
      <c r="B6" s="11" t="n">
        <v>10</v>
      </c>
      <c r="C6" s="7" t="inlineStr">
        <is>
          <t>Palier d'Éclat</t>
        </is>
      </c>
      <c r="D6" s="12">
        <f>5*ROUNDDOWN(B6/5,0)</f>
        <v/>
      </c>
      <c r="F6" s="7" t="inlineStr">
        <is>
          <t>Plafond carac</t>
        </is>
      </c>
      <c r="G6" s="12">
        <f>VLOOKUP(B6,Barèmes!$A$39:$B$44,2,TRUE)</f>
        <v/>
      </c>
    </row>
    <row r="7">
      <c r="A7" s="7" t="inlineStr">
        <is>
          <t>PF total</t>
        </is>
      </c>
      <c r="B7" s="11" t="n">
        <v>100</v>
      </c>
      <c r="C7" s="7" t="inlineStr">
        <is>
          <t>Niveau</t>
        </is>
      </c>
      <c r="D7" s="12">
        <f>ROUNDUP(B7/100,0)</f>
        <v/>
      </c>
      <c r="F7" s="7" t="inlineStr">
        <is>
          <t>PV max</t>
        </is>
      </c>
      <c r="G7" s="12">
        <f>100*D7</f>
        <v/>
      </c>
    </row>
    <row r="8">
      <c r="A8" s="7" t="inlineStr">
        <is>
          <t>DI total</t>
        </is>
      </c>
      <c r="B8" s="11" t="n">
        <v>0</v>
      </c>
      <c r="C8" s="7" t="inlineStr">
        <is>
          <t>Prestige</t>
        </is>
      </c>
      <c r="D8" s="12">
        <f>ROUNDUP(B8/100,0)</f>
        <v/>
      </c>
      <c r="F8" s="7" t="inlineStr">
        <is>
          <t>PV courants</t>
        </is>
      </c>
      <c r="G8" s="11" t="n">
        <v>100</v>
      </c>
    </row>
    <row r="9">
      <c r="A9" s="7" t="inlineStr">
        <is>
          <t>Arme (bonus de classe)</t>
        </is>
      </c>
      <c r="B9" s="8" t="inlineStr">
        <is>
          <t>Armes de mêlée</t>
        </is>
      </c>
      <c r="C9" s="9" t="n"/>
      <c r="D9" s="10" t="n"/>
      <c r="F9" s="7" t="inlineStr">
        <is>
          <t>Défense (bonus de classe)</t>
        </is>
      </c>
      <c r="G9" s="8" t="inlineStr">
        <is>
          <t>Esquive</t>
        </is>
      </c>
      <c r="H9" s="9" t="n"/>
      <c r="I9" s="10" t="n"/>
    </row>
    <row r="10" ht="24" customHeight="1">
      <c r="A10" s="13" t="inlineStr">
        <is>
          <t>Bonus de classe du Combattant (+10 d'office) : Initiative, Lutte, Résistance à la douleur, l'arme choisie ci-dessus et la défense choisie ci-dessus. Reportés dans la colonne Bonus des compétences.</t>
        </is>
      </c>
    </row>
    <row r="12" ht="20" customHeight="1">
      <c r="A12" s="5" t="inlineStr">
        <is>
          <t>1 bis · Plafonds de formation (Combattant)</t>
        </is>
      </c>
      <c r="B12" s="9" t="n"/>
      <c r="C12" s="9" t="n"/>
      <c r="D12" s="9" t="n"/>
      <c r="E12" s="9" t="n"/>
      <c r="F12" s="9" t="n"/>
      <c r="G12" s="9" t="n"/>
      <c r="H12" s="9" t="n"/>
      <c r="I12" s="9" t="n"/>
      <c r="J12" s="9" t="n"/>
      <c r="K12" s="9" t="n"/>
      <c r="L12" s="9" t="n"/>
      <c r="M12" s="9" t="n"/>
      <c r="N12" s="10" t="n"/>
    </row>
    <row r="13">
      <c r="A13" s="14" t="inlineStr">
        <is>
          <t>Champ</t>
        </is>
      </c>
      <c r="B13" s="14" t="inlineStr">
        <is>
          <t>Plafond %</t>
        </is>
      </c>
      <c r="C13" s="14" t="inlineStr">
        <is>
          <t>PF max</t>
        </is>
      </c>
      <c r="F13" s="14" t="inlineStr">
        <is>
          <t>Champ</t>
        </is>
      </c>
      <c r="G13" s="14" t="inlineStr">
        <is>
          <t>Plafond %</t>
        </is>
      </c>
      <c r="H13" s="14" t="inlineStr">
        <is>
          <t>PF max</t>
        </is>
      </c>
      <c r="K13" s="14" t="inlineStr">
        <is>
          <t>Champ</t>
        </is>
      </c>
      <c r="L13" s="14" t="inlineStr">
        <is>
          <t>Plafond %</t>
        </is>
      </c>
      <c r="M13" s="14" t="inlineStr">
        <is>
          <t>PF max</t>
        </is>
      </c>
    </row>
    <row r="14">
      <c r="A14" s="7" t="inlineStr">
        <is>
          <t>Martial</t>
        </is>
      </c>
      <c r="B14" s="15" t="n">
        <v>40</v>
      </c>
      <c r="C14" s="12">
        <f>ROUNDDOWN(B14*$B$7/100,0)</f>
        <v/>
      </c>
      <c r="F14" s="7" t="inlineStr">
        <is>
          <t>Intellectuel</t>
        </is>
      </c>
      <c r="G14" s="15" t="n">
        <v>10</v>
      </c>
      <c r="H14" s="12">
        <f>ROUNDDOWN(G14*$B$7/100,0)</f>
        <v/>
      </c>
      <c r="K14" s="7" t="inlineStr">
        <is>
          <t>Transport</t>
        </is>
      </c>
      <c r="L14" s="15" t="n">
        <v>20</v>
      </c>
      <c r="M14" s="12">
        <f>ROUNDDOWN(L14*$B$7/100,0)</f>
        <v/>
      </c>
    </row>
    <row r="15">
      <c r="A15" s="7" t="inlineStr">
        <is>
          <t>Athlétique</t>
        </is>
      </c>
      <c r="B15" s="15" t="n">
        <v>30</v>
      </c>
      <c r="C15" s="12">
        <f>ROUNDDOWN(B15*$B$7/100,0)</f>
        <v/>
      </c>
      <c r="F15" s="7" t="inlineStr">
        <is>
          <t>Naturel</t>
        </is>
      </c>
      <c r="G15" s="15" t="n">
        <v>20</v>
      </c>
      <c r="H15" s="12">
        <f>ROUNDDOWN(G15*$B$7/100,0)</f>
        <v/>
      </c>
      <c r="K15" s="7" t="inlineStr">
        <is>
          <t>Furtif</t>
        </is>
      </c>
      <c r="L15" s="15" t="n">
        <v>20</v>
      </c>
      <c r="M15" s="12">
        <f>ROUNDDOWN(L15*$B$7/100,0)</f>
        <v/>
      </c>
    </row>
    <row r="16">
      <c r="A16" s="7" t="inlineStr">
        <is>
          <t>Vital</t>
        </is>
      </c>
      <c r="B16" s="15" t="n">
        <v>30</v>
      </c>
      <c r="C16" s="12">
        <f>ROUNDDOWN(B16*$B$7/100,0)</f>
        <v/>
      </c>
      <c r="F16" s="7" t="inlineStr">
        <is>
          <t>Sensoriel</t>
        </is>
      </c>
      <c r="G16" s="15" t="n">
        <v>20</v>
      </c>
      <c r="H16" s="12">
        <f>ROUNDDOWN(G16*$B$7/100,0)</f>
        <v/>
      </c>
      <c r="K16" s="7" t="inlineStr">
        <is>
          <t>Artisanal</t>
        </is>
      </c>
      <c r="L16" s="15" t="n">
        <v>10</v>
      </c>
      <c r="M16" s="12">
        <f>ROUNDDOWN(L16*$B$7/100,0)</f>
        <v/>
      </c>
    </row>
    <row r="17">
      <c r="A17" s="7" t="inlineStr">
        <is>
          <t>Social</t>
        </is>
      </c>
      <c r="B17" s="15" t="n">
        <v>10</v>
      </c>
      <c r="C17" s="12">
        <f>ROUNDDOWN(B17*$B$7/100,0)</f>
        <v/>
      </c>
      <c r="F17" s="7" t="inlineStr">
        <is>
          <t>Technique</t>
        </is>
      </c>
      <c r="G17" s="15" t="n">
        <v>10</v>
      </c>
      <c r="H17" s="12">
        <f>ROUNDDOWN(G17*$B$7/100,0)</f>
        <v/>
      </c>
      <c r="K17" s="7" t="inlineStr">
        <is>
          <t>Artistique</t>
        </is>
      </c>
      <c r="L17" s="15" t="n">
        <v>10</v>
      </c>
      <c r="M17" s="12">
        <f>ROUNDDOWN(L17*$B$7/100,0)</f>
        <v/>
      </c>
    </row>
    <row r="18" ht="24" customHeight="1">
      <c r="A18" s="13" t="inlineStr">
        <is>
          <t>Arts martiaux et formations comptent dans le champ Martial. Le plafond s'applique aux PF totaux, et s'élève donc avec le niveau.</t>
        </is>
      </c>
    </row>
    <row r="20" ht="20" customHeight="1">
      <c r="A20" s="5" t="inlineStr">
        <is>
          <t>2 · Caractéristiques  (saisie 0–30, ≤ plafond)</t>
        </is>
      </c>
      <c r="B20" s="9" t="n"/>
      <c r="C20" s="9" t="n"/>
      <c r="D20" s="9" t="n"/>
      <c r="E20" s="9" t="n"/>
      <c r="F20" s="9" t="n"/>
      <c r="G20" s="9" t="n"/>
      <c r="H20" s="9" t="n"/>
      <c r="I20" s="9" t="n"/>
      <c r="J20" s="9" t="n"/>
      <c r="K20" s="9" t="n"/>
      <c r="L20" s="9" t="n"/>
      <c r="M20" s="9" t="n"/>
      <c r="N20" s="10" t="n"/>
    </row>
    <row r="21">
      <c r="A21" s="14" t="inlineStr">
        <is>
          <t>Physique</t>
        </is>
      </c>
      <c r="B21" s="14" t="inlineStr">
        <is>
          <t>Valeur</t>
        </is>
      </c>
      <c r="C21" s="14" t="inlineStr">
        <is>
          <t>MOD</t>
        </is>
      </c>
      <c r="D21" s="14" t="inlineStr">
        <is>
          <t>Plafond</t>
        </is>
      </c>
      <c r="F21" s="14" t="inlineStr">
        <is>
          <t>Mentale</t>
        </is>
      </c>
      <c r="G21" s="14" t="inlineStr">
        <is>
          <t>Valeur</t>
        </is>
      </c>
      <c r="H21" s="14" t="inlineStr">
        <is>
          <t>MOD</t>
        </is>
      </c>
      <c r="I21" s="14" t="inlineStr">
        <is>
          <t>Plafond</t>
        </is>
      </c>
      <c r="K21" s="14" t="inlineStr">
        <is>
          <t>Point buy — création</t>
        </is>
      </c>
      <c r="L21" s="9" t="n"/>
      <c r="M21" s="9" t="n"/>
      <c r="N21" s="10" t="n"/>
      <c r="P21" t="inlineStr">
        <is>
          <t>(aux. coût point-buy par carac)</t>
        </is>
      </c>
    </row>
    <row r="22">
      <c r="A22" s="7" t="inlineStr">
        <is>
          <t>FOR — Force</t>
        </is>
      </c>
      <c r="B22" s="11" t="n">
        <v>5</v>
      </c>
      <c r="C22" s="12">
        <f>VLOOKUP(B22,Barèmes!$A$5:$B$35,2,FALSE)</f>
        <v/>
      </c>
      <c r="D22" s="12">
        <f>$G$6</f>
        <v/>
      </c>
      <c r="F22" s="7" t="inlineStr">
        <is>
          <t>VOL — Volonté</t>
        </is>
      </c>
      <c r="G22" s="11" t="n">
        <v>5</v>
      </c>
      <c r="H22" s="12">
        <f>VLOOKUP(G22,Barèmes!$A$5:$B$35,2,FALSE)</f>
        <v/>
      </c>
      <c r="I22" s="12">
        <f>$G$6</f>
        <v/>
      </c>
      <c r="K22" s="7" t="inlineStr">
        <is>
          <t>Moyenne</t>
        </is>
      </c>
      <c r="L22" s="12">
        <f>VLOOKUP($B$6,Barèmes!$A$48:$D$51,2,TRUE)</f>
        <v/>
      </c>
      <c r="M22" s="7" t="inlineStr">
        <is>
          <t>Plafond</t>
        </is>
      </c>
      <c r="N22" s="12">
        <f>VLOOKUP($B$6,Barèmes!$A$48:$D$51,3,TRUE)</f>
        <v/>
      </c>
      <c r="P22">
        <f>IF(B22&lt;=$L$22,B22-3,($L$22-3)+(B22-$L$22)*(B22-$L$22+3)/2)</f>
        <v/>
      </c>
      <c r="Q22">
        <f>IF(G22&lt;=$L$22,G22-3,($L$22-3)+(G22-$L$22)*(G22-$L$22+3)/2)</f>
        <v/>
      </c>
    </row>
    <row r="23">
      <c r="A23" s="7" t="inlineStr">
        <is>
          <t>DEX — Dextérité</t>
        </is>
      </c>
      <c r="B23" s="11" t="n">
        <v>5</v>
      </c>
      <c r="C23" s="12">
        <f>VLOOKUP(B23,Barèmes!$A$5:$B$35,2,FALSE)</f>
        <v/>
      </c>
      <c r="D23" s="12">
        <f>$G$6</f>
        <v/>
      </c>
      <c r="F23" s="7" t="inlineStr">
        <is>
          <t>LOG — Logique</t>
        </is>
      </c>
      <c r="G23" s="11" t="n">
        <v>5</v>
      </c>
      <c r="H23" s="12">
        <f>VLOOKUP(G23,Barèmes!$A$5:$B$35,2,FALSE)</f>
        <v/>
      </c>
      <c r="I23" s="12">
        <f>$G$6</f>
        <v/>
      </c>
      <c r="K23" s="7" t="inlineStr">
        <is>
          <t>Budget</t>
        </is>
      </c>
      <c r="L23" s="12">
        <f>VLOOKUP($B$6,Barèmes!$A$48:$D$51,4,TRUE)</f>
        <v/>
      </c>
      <c r="M23" s="7" t="inlineStr">
        <is>
          <t>Coût</t>
        </is>
      </c>
      <c r="N23" s="12">
        <f>SUM(P22:P27)+SUM(Q22:Q27)</f>
        <v/>
      </c>
      <c r="P23">
        <f>IF(B23&lt;=$L$22,B23-3,($L$22-3)+(B23-$L$22)*(B23-$L$22+3)/2)</f>
        <v/>
      </c>
      <c r="Q23">
        <f>IF(G23&lt;=$L$22,G23-3,($L$22-3)+(G23-$L$22)*(G23-$L$22+3)/2)</f>
        <v/>
      </c>
    </row>
    <row r="24">
      <c r="A24" s="7" t="inlineStr">
        <is>
          <t>AGI — Agilité</t>
        </is>
      </c>
      <c r="B24" s="11" t="n">
        <v>5</v>
      </c>
      <c r="C24" s="12">
        <f>VLOOKUP(B24,Barèmes!$A$5:$B$35,2,FALSE)</f>
        <v/>
      </c>
      <c r="D24" s="12">
        <f>$G$6</f>
        <v/>
      </c>
      <c r="F24" s="7" t="inlineStr">
        <is>
          <t>INS — Instinct</t>
        </is>
      </c>
      <c r="G24" s="11" t="n">
        <v>5</v>
      </c>
      <c r="H24" s="12">
        <f>VLOOKUP(G24,Barèmes!$A$5:$B$35,2,FALSE)</f>
        <v/>
      </c>
      <c r="I24" s="12">
        <f>$G$6</f>
        <v/>
      </c>
      <c r="K24" s="7" t="inlineStr">
        <is>
          <t>Reste</t>
        </is>
      </c>
      <c r="L24" s="12">
        <f>L23-N23</f>
        <v/>
      </c>
      <c r="M24" s="7" t="inlineStr">
        <is>
          <t>&gt; plafond ?</t>
        </is>
      </c>
      <c r="N24" s="12">
        <f>IF(MAX(B22:B27,G22:G27)&gt;N22,"oui","non")</f>
        <v/>
      </c>
      <c r="P24">
        <f>IF(B24&lt;=$L$22,B24-3,($L$22-3)+(B24-$L$22)*(B24-$L$22+3)/2)</f>
        <v/>
      </c>
      <c r="Q24">
        <f>IF(G24&lt;=$L$22,G24-3,($L$22-3)+(G24-$L$22)*(G24-$L$22+3)/2)</f>
        <v/>
      </c>
    </row>
    <row r="25">
      <c r="A25" s="7" t="inlineStr">
        <is>
          <t>END — Endurance</t>
        </is>
      </c>
      <c r="B25" s="11" t="n">
        <v>5</v>
      </c>
      <c r="C25" s="12">
        <f>VLOOKUP(B25,Barèmes!$A$5:$B$35,2,FALSE)</f>
        <v/>
      </c>
      <c r="D25" s="12">
        <f>$G$6</f>
        <v/>
      </c>
      <c r="F25" s="7" t="inlineStr">
        <is>
          <t>ÉRU — Érudition</t>
        </is>
      </c>
      <c r="G25" s="11" t="n">
        <v>5</v>
      </c>
      <c r="H25" s="12">
        <f>VLOOKUP(G25,Barèmes!$A$5:$B$35,2,FALSE)</f>
        <v/>
      </c>
      <c r="I25" s="12">
        <f>$G$6</f>
        <v/>
      </c>
      <c r="P25">
        <f>IF(B25&lt;=$L$22,B25-3,($L$22-3)+(B25-$L$22)*(B25-$L$22+3)/2)</f>
        <v/>
      </c>
      <c r="Q25">
        <f>IF(G25&lt;=$L$22,G25-3,($L$22-3)+(G25-$L$22)*(G25-$L$22+3)/2)</f>
        <v/>
      </c>
    </row>
    <row r="26">
      <c r="A26" s="7" t="inlineStr">
        <is>
          <t>PER — Perception</t>
        </is>
      </c>
      <c r="B26" s="11" t="n">
        <v>5</v>
      </c>
      <c r="C26" s="12">
        <f>VLOOKUP(B26,Barèmes!$A$5:$B$35,2,FALSE)</f>
        <v/>
      </c>
      <c r="D26" s="12">
        <f>$G$6</f>
        <v/>
      </c>
      <c r="F26" s="7" t="inlineStr">
        <is>
          <t>IMA — Imagination</t>
        </is>
      </c>
      <c r="G26" s="11" t="n">
        <v>5</v>
      </c>
      <c r="H26" s="12">
        <f>VLOOKUP(G26,Barèmes!$A$5:$B$35,2,FALSE)</f>
        <v/>
      </c>
      <c r="I26" s="12">
        <f>$G$6</f>
        <v/>
      </c>
      <c r="P26">
        <f>IF(B26&lt;=$L$22,B26-3,($L$22-3)+(B26-$L$22)*(B26-$L$22+3)/2)</f>
        <v/>
      </c>
      <c r="Q26">
        <f>IF(G26&lt;=$L$22,G26-3,($L$22-3)+(G26-$L$22)*(G26-$L$22+3)/2)</f>
        <v/>
      </c>
    </row>
    <row r="27">
      <c r="A27" s="7" t="inlineStr">
        <is>
          <t>PRÉ — Présence</t>
        </is>
      </c>
      <c r="B27" s="11" t="n">
        <v>5</v>
      </c>
      <c r="C27" s="12">
        <f>VLOOKUP(B27,Barèmes!$A$5:$B$35,2,FALSE)</f>
        <v/>
      </c>
      <c r="D27" s="12">
        <f>$G$6</f>
        <v/>
      </c>
      <c r="F27" s="7" t="inlineStr">
        <is>
          <t>CHA — Charisme</t>
        </is>
      </c>
      <c r="G27" s="11" t="n">
        <v>5</v>
      </c>
      <c r="H27" s="12">
        <f>VLOOKUP(G27,Barèmes!$A$5:$B$35,2,FALSE)</f>
        <v/>
      </c>
      <c r="I27" s="12">
        <f>$G$6</f>
        <v/>
      </c>
      <c r="P27">
        <f>IF(B27&lt;=$L$22,B27-3,($L$22-3)+(B27-$L$22)*(B27-$L$22+3)/2)</f>
        <v/>
      </c>
      <c r="Q27">
        <f>IF(G27&lt;=$L$22,G27-3,($L$22-3)+(G27-$L$22)*(G27-$L$22+3)/2)</f>
        <v/>
      </c>
    </row>
    <row r="28">
      <c r="A28" s="7" t="inlineStr">
        <is>
          <t>Total caractéristiques</t>
        </is>
      </c>
      <c r="B28" s="12">
        <f>SUM(B22,B23,B24,B25,B26,B27,G22,G23,G24,G25,G26,G27)</f>
        <v/>
      </c>
      <c r="C28" s="16" t="inlineStr">
        <is>
          <t>Repère : 5 moyenne · 9 max humain · 19 sommet · 30 au-delà</t>
        </is>
      </c>
    </row>
    <row r="30" ht="20" customHeight="1">
      <c r="A30" s="5" t="inlineStr">
        <is>
          <t>3 · Capacités physiques</t>
        </is>
      </c>
      <c r="B30" s="9" t="n"/>
      <c r="C30" s="9" t="n"/>
      <c r="D30" s="9" t="n"/>
      <c r="E30" s="9" t="n"/>
      <c r="F30" s="9" t="n"/>
      <c r="G30" s="9" t="n"/>
      <c r="H30" s="9" t="n"/>
      <c r="I30" s="9" t="n"/>
      <c r="J30" s="9" t="n"/>
      <c r="K30" s="9" t="n"/>
      <c r="L30" s="9" t="n"/>
      <c r="M30" s="9" t="n"/>
      <c r="N30" s="10" t="n"/>
    </row>
    <row r="31">
      <c r="A31" s="7" t="inlineStr">
        <is>
          <t>Actions actives / tour</t>
        </is>
      </c>
      <c r="B31" s="12">
        <f>MAX(1,MIN(10,ROUNDDOWN((C24+C23)/10,0)))</f>
        <v/>
      </c>
      <c r="D31" s="7" t="inlineStr">
        <is>
          <t>Taille</t>
        </is>
      </c>
      <c r="E31" s="8" t="inlineStr">
        <is>
          <t>Moyenne</t>
        </is>
      </c>
      <c r="F31" s="9" t="n"/>
      <c r="G31" s="10" t="n"/>
      <c r="H31" s="7" t="inlineStr">
        <is>
          <t>Espace / Allonge</t>
        </is>
      </c>
      <c r="I31" s="12" t="inlineStr">
        <is>
          <t>1 m / 1 m (Moyenne)</t>
        </is>
      </c>
      <c r="J31" s="10" t="n"/>
    </row>
    <row r="32">
      <c r="A32" s="14" t="inlineStr">
        <is>
          <t>Capacité</t>
        </is>
      </c>
      <c r="B32" s="14" t="inlineStr">
        <is>
          <t>Légère</t>
        </is>
      </c>
      <c r="C32" s="14" t="inlineStr">
        <is>
          <t>Intermédiaire</t>
        </is>
      </c>
      <c r="D32" s="14" t="inlineStr">
        <is>
          <t>Lourde</t>
        </is>
      </c>
      <c r="F32" s="14" t="inlineStr">
        <is>
          <t>Capacité</t>
        </is>
      </c>
      <c r="G32" s="14" t="inlineStr">
        <is>
          <t>Légère</t>
        </is>
      </c>
      <c r="H32" s="14" t="inlineStr">
        <is>
          <t>Intermédiaire</t>
        </is>
      </c>
      <c r="I32" s="14" t="inlineStr">
        <is>
          <t>Lourde</t>
        </is>
      </c>
    </row>
    <row r="33">
      <c r="A33" s="7" t="inlineStr">
        <is>
          <t>Mouvement</t>
        </is>
      </c>
      <c r="B33" s="12">
        <f>VLOOKUP(B24,Barèmes!$A$89:$D$119,2,FALSE)</f>
        <v/>
      </c>
      <c r="C33" s="12">
        <f>VLOOKUP(B24,Barèmes!$A$89:$D$119,3,FALSE)</f>
        <v/>
      </c>
      <c r="D33" s="12">
        <f>VLOOKUP(B24,Barèmes!$A$89:$D$119,4,FALSE)</f>
        <v/>
      </c>
      <c r="F33" s="7" t="inlineStr">
        <is>
          <t>Indice de poids</t>
        </is>
      </c>
      <c r="G33" s="12">
        <f>VLOOKUP(B22,Barèmes!$A$55:$D$85,2,FALSE)</f>
        <v/>
      </c>
      <c r="H33" s="12">
        <f>VLOOKUP(B22,Barèmes!$A$55:$D$85,3,FALSE)</f>
        <v/>
      </c>
      <c r="I33" s="12">
        <f>VLOOKUP(B22,Barèmes!$A$55:$D$85,4,FALSE)</f>
        <v/>
      </c>
    </row>
    <row r="34">
      <c r="A34" s="7" t="inlineStr">
        <is>
          <t>Apnée</t>
        </is>
      </c>
      <c r="B34" s="12">
        <f>VLOOKUP(B25,Barèmes!$A$123:$D$153,2,FALSE)</f>
        <v/>
      </c>
      <c r="C34" s="12">
        <f>VLOOKUP(B25,Barèmes!$A$123:$D$153,3,FALSE)</f>
        <v/>
      </c>
      <c r="D34" s="12">
        <f>VLOOKUP(B25,Barèmes!$A$123:$D$153,4,FALSE)</f>
        <v/>
      </c>
      <c r="F34" s="7" t="inlineStr">
        <is>
          <t>Tirer / pousser</t>
        </is>
      </c>
      <c r="G34" s="17">
        <f> indice de poids × 10 (chaque colonne)</f>
        <v/>
      </c>
      <c r="H34" s="9" t="n"/>
      <c r="I34" s="10" t="n"/>
    </row>
    <row r="35">
      <c r="A35" s="7" t="inlineStr">
        <is>
          <t>Suffocation</t>
        </is>
      </c>
      <c r="B35" s="12">
        <f>B25</f>
        <v/>
      </c>
      <c r="C35" s="17" t="inlineStr">
        <is>
          <t>rounds avant inconscience ; mort à 2 × END</t>
        </is>
      </c>
      <c r="D35" s="10" t="n"/>
      <c r="F35" s="7" t="inlineStr">
        <is>
          <t>Mort (suffocation)</t>
        </is>
      </c>
      <c r="G35" s="12">
        <f>2*B25</f>
        <v/>
      </c>
      <c r="H35" s="17" t="inlineStr">
        <is>
          <t>rounds (pleine respiration → mort)</t>
        </is>
      </c>
      <c r="I35" s="10" t="n"/>
    </row>
    <row r="37" ht="20" customHeight="1">
      <c r="A37" s="5" t="inlineStr">
        <is>
          <t>4 · Combat</t>
        </is>
      </c>
      <c r="B37" s="9" t="n"/>
      <c r="C37" s="9" t="n"/>
      <c r="D37" s="9" t="n"/>
      <c r="E37" s="9" t="n"/>
      <c r="F37" s="9" t="n"/>
      <c r="G37" s="9" t="n"/>
      <c r="H37" s="9" t="n"/>
      <c r="I37" s="9" t="n"/>
      <c r="J37" s="9" t="n"/>
      <c r="K37" s="9" t="n"/>
      <c r="L37" s="9" t="n"/>
      <c r="M37" s="9" t="n"/>
      <c r="N37" s="10" t="n"/>
    </row>
    <row r="38">
      <c r="A38" s="7" t="inlineStr">
        <is>
          <t>Actions actives / tour</t>
        </is>
      </c>
      <c r="B38" s="12">
        <f>$B$31</f>
        <v/>
      </c>
      <c r="D38" s="7" t="inlineStr">
        <is>
          <t>PV max</t>
        </is>
      </c>
      <c r="E38" s="12">
        <f>$G$7</f>
        <v/>
      </c>
      <c r="G38" s="7" t="inlineStr">
        <is>
          <t>PV courants</t>
        </is>
      </c>
      <c r="H38" s="12">
        <f>$G$8</f>
        <v/>
      </c>
    </row>
    <row r="40">
      <c r="A40" s="7" t="inlineStr">
        <is>
          <t>Réduction de dégâts (armure)</t>
        </is>
      </c>
      <c r="B40" s="14" t="inlineStr">
        <is>
          <t>CON</t>
        </is>
      </c>
      <c r="C40" s="14" t="inlineStr">
        <is>
          <t>TRA</t>
        </is>
      </c>
      <c r="D40" s="14" t="inlineStr">
        <is>
          <t>PER</t>
        </is>
      </c>
      <c r="E40" s="14" t="inlineStr">
        <is>
          <t>FEU</t>
        </is>
      </c>
      <c r="F40" s="14" t="inlineStr">
        <is>
          <t>FRO</t>
        </is>
      </c>
      <c r="G40" s="14" t="inlineStr">
        <is>
          <t>ÉLE</t>
        </is>
      </c>
      <c r="H40" s="14" t="inlineStr">
        <is>
          <t>DÉC</t>
        </is>
      </c>
    </row>
    <row r="41">
      <c r="A41" s="18" t="n"/>
      <c r="B41" s="11" t="n">
        <v>0</v>
      </c>
      <c r="C41" s="11" t="n">
        <v>0</v>
      </c>
      <c r="D41" s="11" t="n">
        <v>0</v>
      </c>
      <c r="E41" s="11" t="n">
        <v>0</v>
      </c>
      <c r="F41" s="11" t="n">
        <v>0</v>
      </c>
      <c r="G41" s="11" t="n">
        <v>0</v>
      </c>
      <c r="H41" s="11" t="n">
        <v>0</v>
      </c>
    </row>
    <row r="42">
      <c r="A42" s="13" t="inlineStr">
        <is>
          <t>Jets de combat — Initiative, attaque avec l'arme (Armes de mêlée / jet / Archerie / feu), Parade, Esquive, Lutte : voir la section Compétences.</t>
        </is>
      </c>
    </row>
    <row r="44">
      <c r="A44" s="7" t="inlineStr">
        <is>
          <t>Arme équipée</t>
        </is>
      </c>
      <c r="B44" s="14" t="inlineStr">
        <is>
          <t>Nom</t>
        </is>
      </c>
      <c r="C44" s="14" t="inlineStr">
        <is>
          <t>Dégâts faciaux</t>
        </is>
      </c>
      <c r="D44" s="14" t="inlineStr">
        <is>
          <t>Mult. N (0–3)</t>
        </is>
      </c>
      <c r="F44" s="14" t="inlineStr">
        <is>
          <t>Finesse</t>
        </is>
      </c>
      <c r="G44" s="14" t="inlineStr">
        <is>
          <t>Type</t>
        </is>
      </c>
      <c r="H44" s="14" t="inlineStr">
        <is>
          <t>Dégâts de base</t>
        </is>
      </c>
    </row>
    <row r="45">
      <c r="A45" s="7" t="inlineStr"/>
      <c r="B45" s="8" t="inlineStr">
        <is>
          <t>Mains nues</t>
        </is>
      </c>
      <c r="C45" s="11" t="n">
        <v>20</v>
      </c>
      <c r="D45" s="11" t="n">
        <v>1</v>
      </c>
      <c r="F45" s="11" t="inlineStr">
        <is>
          <t>Non</t>
        </is>
      </c>
      <c r="G45" s="11" t="inlineStr">
        <is>
          <t>CON</t>
        </is>
      </c>
      <c r="H45" s="12">
        <f>C45+D45*IF(F45="Oui",C23,C22)</f>
        <v/>
      </c>
    </row>
    <row r="46">
      <c r="A46" s="16" t="inlineStr">
        <is>
          <t>Dégâts infligés = (Dégâts de base − réduction de dégâts du type) × marge% ; la réduction se retire avant le multiplicateur.</t>
        </is>
      </c>
    </row>
    <row r="48" ht="20" customHeight="1">
      <c r="A48" s="5" t="inlineStr">
        <is>
          <t>5 · Aura &amp; Nen</t>
        </is>
      </c>
      <c r="B48" s="9" t="n"/>
      <c r="C48" s="9" t="n"/>
      <c r="D48" s="9" t="n"/>
      <c r="E48" s="9" t="n"/>
      <c r="F48" s="9" t="n"/>
      <c r="G48" s="9" t="n"/>
      <c r="H48" s="9" t="n"/>
      <c r="I48" s="9" t="n"/>
      <c r="J48" s="9" t="n"/>
      <c r="K48" s="9" t="n"/>
      <c r="L48" s="9" t="n"/>
      <c r="M48" s="9" t="n"/>
      <c r="N48" s="10" t="n"/>
    </row>
    <row r="49">
      <c r="A49" s="7" t="inlineStr">
        <is>
          <t>Archétype</t>
        </is>
      </c>
      <c r="B49" s="8" t="inlineStr">
        <is>
          <t>Renforceur</t>
        </is>
      </c>
      <c r="C49" s="10" t="n"/>
      <c r="D49" s="7" t="inlineStr">
        <is>
          <t>Avantage Spécialiste</t>
        </is>
      </c>
      <c r="F49" s="11" t="inlineStr">
        <is>
          <t>Non</t>
        </is>
      </c>
      <c r="H49" s="7" t="inlineStr">
        <is>
          <t>DI total</t>
        </is>
      </c>
      <c r="I49" s="12">
        <f>$B$8</f>
        <v/>
      </c>
    </row>
    <row r="50">
      <c r="A50" s="14" t="inlineStr">
        <is>
          <t>Affinité</t>
        </is>
      </c>
      <c r="B50" s="14" t="inlineStr">
        <is>
          <t>Renf.</t>
        </is>
      </c>
      <c r="C50" s="14" t="inlineStr">
        <is>
          <t>Émis.</t>
        </is>
      </c>
      <c r="D50" s="14" t="inlineStr">
        <is>
          <t>Transm.</t>
        </is>
      </c>
      <c r="F50" s="14" t="inlineStr">
        <is>
          <t>Manip.</t>
        </is>
      </c>
      <c r="G50" s="14" t="inlineStr">
        <is>
          <t>Conj.</t>
        </is>
      </c>
      <c r="H50" s="14" t="inlineStr">
        <is>
          <t>Spé.</t>
        </is>
      </c>
    </row>
    <row r="51">
      <c r="A51" s="7" t="inlineStr">
        <is>
          <t>Affinité (%)</t>
        </is>
      </c>
      <c r="B51" s="15">
        <f>VLOOKUP(B49,Barèmes!$A$157:$H$168,2,FALSE)</f>
        <v/>
      </c>
      <c r="C51" s="15">
        <f>VLOOKUP(B49,Barèmes!$A$157:$H$168,3,FALSE)</f>
        <v/>
      </c>
      <c r="D51" s="15">
        <f>VLOOKUP(B49,Barèmes!$A$157:$H$168,4,FALSE)</f>
        <v/>
      </c>
      <c r="F51" s="15">
        <f>VLOOKUP(B49,Barèmes!$A$157:$H$168,5,FALSE)</f>
        <v/>
      </c>
      <c r="G51" s="15">
        <f>VLOOKUP(B49,Barèmes!$A$157:$H$168,6,FALSE)</f>
        <v/>
      </c>
      <c r="H51" s="15">
        <f>IF(F49="Oui",VLOOKUP(B49,Barèmes!$A$157:$H$168,8,FALSE),VLOOKUP(B49,Barèmes!$A$157:$H$168,7,FALSE))</f>
        <v/>
      </c>
    </row>
    <row r="53">
      <c r="A53" s="14" t="inlineStr">
        <is>
          <t>Aura</t>
        </is>
      </c>
      <c r="B53" s="14" t="inlineStr">
        <is>
          <t>Base</t>
        </is>
      </c>
      <c r="C53" s="14" t="inlineStr">
        <is>
          <t>Mult.</t>
        </is>
      </c>
      <c r="D53" s="14" t="inlineStr">
        <is>
          <t>Valeur</t>
        </is>
      </c>
      <c r="F53" s="14" t="inlineStr">
        <is>
          <t>Réserve</t>
        </is>
      </c>
      <c r="G53" s="14" t="inlineStr">
        <is>
          <t>Valeur</t>
        </is>
      </c>
    </row>
    <row r="54">
      <c r="A54" s="7" t="inlineStr">
        <is>
          <t>UAR (par round)</t>
        </is>
      </c>
      <c r="B54" s="11" t="n">
        <v>5</v>
      </c>
      <c r="C54" s="11" t="n">
        <v>0</v>
      </c>
      <c r="D54" s="12">
        <f>B54*(C54+1)</f>
        <v/>
      </c>
      <c r="F54" s="7" t="inlineStr">
        <is>
          <t>UAM (aura max)</t>
        </is>
      </c>
      <c r="G54" s="12">
        <f>100*$D$8+20*G55</f>
        <v/>
      </c>
    </row>
    <row r="55">
      <c r="A55" s="7" t="inlineStr">
        <is>
          <t>RUA (par heure)</t>
        </is>
      </c>
      <c r="B55" s="11" t="n">
        <v>5</v>
      </c>
      <c r="C55" s="11" t="n">
        <v>0</v>
      </c>
      <c r="D55" s="12">
        <f>B55*(C55+1)</f>
        <v/>
      </c>
      <c r="F55" s="7" t="inlineStr">
        <is>
          <t>Achats UAM (tranches)</t>
        </is>
      </c>
      <c r="G55" s="11" t="n">
        <v>0</v>
      </c>
    </row>
    <row r="56">
      <c r="A56" s="7" t="inlineStr">
        <is>
          <t>Prestige (rappel)</t>
        </is>
      </c>
      <c r="B56" s="12">
        <f>$D$8</f>
        <v/>
      </c>
      <c r="C56" s="7" t="inlineStr">
        <is>
          <t>UAD courant</t>
        </is>
      </c>
      <c r="D56" s="11" t="n">
        <v>100</v>
      </c>
      <c r="F56" s="17" t="inlineStr">
        <is>
          <t>UAD ≤ UAM ; remonte de la RUA chaque heure.</t>
        </is>
      </c>
      <c r="G56" s="9" t="n"/>
      <c r="H56" s="9" t="n"/>
      <c r="I56" s="10" t="n"/>
    </row>
    <row r="58">
      <c r="A58" s="7" t="inlineStr">
        <is>
          <t>Conversion DI → catégorie</t>
        </is>
      </c>
      <c r="B58" s="9" t="n"/>
      <c r="C58" s="9" t="n"/>
      <c r="D58" s="9" t="n"/>
      <c r="E58" s="9" t="n"/>
      <c r="F58" s="9" t="n"/>
      <c r="G58" s="9" t="n"/>
      <c r="H58" s="9" t="n"/>
      <c r="I58" s="10" t="n"/>
    </row>
    <row r="59">
      <c r="A59" s="14" t="inlineStr">
        <is>
          <t>Catégorie</t>
        </is>
      </c>
      <c r="B59" s="14" t="inlineStr">
        <is>
          <t>DI investi</t>
        </is>
      </c>
      <c r="C59" s="14" t="inlineStr">
        <is>
          <t>Affinité %</t>
        </is>
      </c>
      <c r="D59" s="14" t="inlineStr">
        <is>
          <t>Points (DX)</t>
        </is>
      </c>
      <c r="F59" s="14" t="inlineStr">
        <is>
          <t>Catégorie</t>
        </is>
      </c>
      <c r="G59" s="14" t="inlineStr">
        <is>
          <t>DI investi</t>
        </is>
      </c>
      <c r="H59" s="14" t="inlineStr">
        <is>
          <t>Affinité %</t>
        </is>
      </c>
      <c r="I59" s="14" t="inlineStr">
        <is>
          <t>Points (DX)</t>
        </is>
      </c>
    </row>
    <row r="60">
      <c r="A60" s="7" t="inlineStr">
        <is>
          <t>DR (Renforcement)</t>
        </is>
      </c>
      <c r="B60" s="11" t="n">
        <v>0</v>
      </c>
      <c r="C60" s="15">
        <f>B51</f>
        <v/>
      </c>
      <c r="D60" s="12">
        <f>ROUNDDOWN(B60*B51/100,0)</f>
        <v/>
      </c>
      <c r="F60" s="7" t="inlineStr">
        <is>
          <t>DM (Manipulation)</t>
        </is>
      </c>
      <c r="G60" s="11" t="n">
        <v>0</v>
      </c>
      <c r="H60" s="15">
        <f>F51</f>
        <v/>
      </c>
      <c r="I60" s="12">
        <f>ROUNDDOWN(G60*F51/100,0)</f>
        <v/>
      </c>
    </row>
    <row r="61">
      <c r="A61" s="7" t="inlineStr">
        <is>
          <t>DE (Émission)</t>
        </is>
      </c>
      <c r="B61" s="11" t="n">
        <v>0</v>
      </c>
      <c r="C61" s="15">
        <f>C51</f>
        <v/>
      </c>
      <c r="D61" s="12">
        <f>ROUNDDOWN(B61*C51/100,0)</f>
        <v/>
      </c>
      <c r="F61" s="7" t="inlineStr">
        <is>
          <t>DC (Conjuration)</t>
        </is>
      </c>
      <c r="G61" s="11" t="n">
        <v>0</v>
      </c>
      <c r="H61" s="15">
        <f>G51</f>
        <v/>
      </c>
      <c r="I61" s="12">
        <f>ROUNDDOWN(G61*G51/100,0)</f>
        <v/>
      </c>
    </row>
    <row r="62">
      <c r="A62" s="7" t="inlineStr">
        <is>
          <t>DT (Transmutation)</t>
        </is>
      </c>
      <c r="B62" s="11" t="n">
        <v>0</v>
      </c>
      <c r="C62" s="15">
        <f>D51</f>
        <v/>
      </c>
      <c r="D62" s="12">
        <f>ROUNDDOWN(B62*D51/100,0)</f>
        <v/>
      </c>
      <c r="F62" s="7" t="inlineStr">
        <is>
          <t>DS (Spécialisation)</t>
        </is>
      </c>
      <c r="G62" s="11" t="n">
        <v>0</v>
      </c>
      <c r="H62" s="15">
        <f>H51</f>
        <v/>
      </c>
      <c r="I62" s="12">
        <f>ROUNDDOWN(G62*H51/100,0)</f>
        <v/>
      </c>
    </row>
    <row r="64" ht="20" customHeight="1">
      <c r="A64" s="5" t="inlineStr">
        <is>
          <t>6 · Techniques du Nen</t>
        </is>
      </c>
      <c r="B64" s="9" t="n"/>
      <c r="C64" s="9" t="n"/>
      <c r="D64" s="9" t="n"/>
      <c r="E64" s="9" t="n"/>
      <c r="F64" s="9" t="n"/>
      <c r="G64" s="9" t="n"/>
      <c r="H64" s="9" t="n"/>
      <c r="I64" s="9" t="n"/>
      <c r="J64" s="9" t="n"/>
      <c r="K64" s="9" t="n"/>
      <c r="L64" s="9" t="n"/>
      <c r="M64" s="9" t="n"/>
      <c r="N64" s="10" t="n"/>
    </row>
    <row r="65">
      <c r="A65" s="14" t="inlineStr">
        <is>
          <t>Technique (bloc)</t>
        </is>
      </c>
      <c r="B65" s="14" t="inlineStr">
        <is>
          <t>Possédée</t>
        </is>
      </c>
      <c r="C65" s="14" t="inlineStr">
        <is>
          <t>Coût DI</t>
        </is>
      </c>
      <c r="F65" s="14" t="inlineStr">
        <is>
          <t>État (palier)</t>
        </is>
      </c>
      <c r="G65" s="14" t="inlineStr">
        <is>
          <t>Palier</t>
        </is>
      </c>
      <c r="H65" s="14" t="inlineStr">
        <is>
          <t>Coût DI cumulé</t>
        </is>
      </c>
    </row>
    <row r="66">
      <c r="A66" s="7" t="inlineStr">
        <is>
          <t>Initiation</t>
        </is>
      </c>
      <c r="B66" s="11" t="inlineStr">
        <is>
          <t>Oui</t>
        </is>
      </c>
      <c r="C66" s="12">
        <f>IF(B66="Oui",40,0)</f>
        <v/>
      </c>
      <c r="F66" s="7" t="inlineStr">
        <is>
          <t>Ten</t>
        </is>
      </c>
      <c r="G66" s="8" t="inlineStr">
        <is>
          <t>Aucun</t>
        </is>
      </c>
      <c r="H66" s="12">
        <f>INDEX(Barèmes!$A$172:$F$178,MATCH("Ten",Barèmes!$A$172:$A$178,0),MATCH(G66,{"Aucun","Basique","Avancé","Expert","Maître"},0)+1)</f>
        <v/>
      </c>
    </row>
    <row r="67">
      <c r="A67" s="7" t="inlineStr">
        <is>
          <t>Hatsu</t>
        </is>
      </c>
      <c r="B67" s="11" t="inlineStr">
        <is>
          <t>Non</t>
        </is>
      </c>
      <c r="C67" s="12">
        <f>IF(B67="Oui",30,0)</f>
        <v/>
      </c>
      <c r="F67" s="7" t="inlineStr">
        <is>
          <t>Zetsu</t>
        </is>
      </c>
      <c r="G67" s="8" t="inlineStr">
        <is>
          <t>Aucun</t>
        </is>
      </c>
      <c r="H67" s="12">
        <f>INDEX(Barèmes!$A$172:$F$178,MATCH("Zetsu",Barèmes!$A$172:$A$178,0),MATCH(G67,{"Aucun","Basique","Avancé","Expert","Maître"},0)+1)</f>
        <v/>
      </c>
    </row>
    <row r="68">
      <c r="A68" s="7" t="inlineStr">
        <is>
          <t>Gyo</t>
        </is>
      </c>
      <c r="B68" s="11" t="inlineStr">
        <is>
          <t>Non</t>
        </is>
      </c>
      <c r="C68" s="12">
        <f>IF(B68="Oui",20,0)</f>
        <v/>
      </c>
      <c r="F68" s="7" t="inlineStr">
        <is>
          <t>Ren</t>
        </is>
      </c>
      <c r="G68" s="8" t="inlineStr">
        <is>
          <t>Aucun</t>
        </is>
      </c>
      <c r="H68" s="12">
        <f>INDEX(Barèmes!$A$172:$F$178,MATCH("Ren",Barèmes!$A$172:$A$178,0),MATCH(G68,{"Aucun","Basique","Avancé","Expert","Maître"},0)+1)</f>
        <v/>
      </c>
    </row>
    <row r="69">
      <c r="A69" s="7" t="inlineStr">
        <is>
          <t>Shu</t>
        </is>
      </c>
      <c r="B69" s="11" t="inlineStr">
        <is>
          <t>Non</t>
        </is>
      </c>
      <c r="C69" s="12">
        <f>IF(B69="Oui",20,0)</f>
        <v/>
      </c>
      <c r="F69" s="7" t="inlineStr">
        <is>
          <t>Ken</t>
        </is>
      </c>
      <c r="G69" s="8" t="inlineStr">
        <is>
          <t>Aucun</t>
        </is>
      </c>
      <c r="H69" s="12">
        <f>INDEX(Barèmes!$A$172:$F$178,MATCH("Ken",Barèmes!$A$172:$A$178,0),MATCH(G69,{"Aucun","Basique","Avancé","Expert","Maître"},0)+1)</f>
        <v/>
      </c>
    </row>
    <row r="70">
      <c r="A70" s="7" t="inlineStr">
        <is>
          <t>In</t>
        </is>
      </c>
      <c r="B70" s="11" t="inlineStr">
        <is>
          <t>Non</t>
        </is>
      </c>
      <c r="C70" s="12">
        <f>IF(B70="Oui",30,0)</f>
        <v/>
      </c>
      <c r="F70" s="7" t="inlineStr">
        <is>
          <t>En</t>
        </is>
      </c>
      <c r="G70" s="8" t="inlineStr">
        <is>
          <t>Aucun</t>
        </is>
      </c>
      <c r="H70" s="12">
        <f>INDEX(Barèmes!$A$172:$F$178,MATCH("En",Barèmes!$A$172:$A$178,0),MATCH(G70,{"Aucun","Basique","Avancé","Expert","Maître"},0)+1)</f>
        <v/>
      </c>
    </row>
    <row r="71">
      <c r="F71" s="7" t="inlineStr">
        <is>
          <t>Ko</t>
        </is>
      </c>
      <c r="G71" s="8" t="inlineStr">
        <is>
          <t>Aucun</t>
        </is>
      </c>
      <c r="H71" s="12">
        <f>INDEX(Barèmes!$A$172:$F$178,MATCH("Ko",Barèmes!$A$172:$A$178,0),MATCH(G71,{"Aucun","Basique","Avancé","Expert","Maître"},0)+1)</f>
        <v/>
      </c>
    </row>
    <row r="72">
      <c r="F72" s="7" t="inlineStr">
        <is>
          <t>Ryu</t>
        </is>
      </c>
      <c r="G72" s="8" t="inlineStr">
        <is>
          <t>Aucun</t>
        </is>
      </c>
      <c r="H72" s="12">
        <f>INDEX(Barèmes!$A$172:$F$178,MATCH("Ryu",Barèmes!$A$172:$A$178,0),MATCH(G72,{"Aucun","Basique","Avancé","Expert","Maître"},0)+1)</f>
        <v/>
      </c>
    </row>
    <row r="74">
      <c r="A74" s="7" t="inlineStr">
        <is>
          <t>DI dépensé en techniques</t>
        </is>
      </c>
      <c r="B74" s="12">
        <f>SUM(C66,C67,C68,C69,C70,H66,H67,H68,H69,H70,H71,H72)</f>
        <v/>
      </c>
      <c r="C74" s="10" t="n"/>
      <c r="F74" s="17" t="inlineStr">
        <is>
          <t>Base d'UAR conférée par l'état à manteau actif (Ren/Ken/Ko/Ryu) : Basique 10 · Avancé 15 · Expert 20 · Maître 25.</t>
        </is>
      </c>
      <c r="G74" s="9" t="n"/>
      <c r="H74" s="9" t="n"/>
      <c r="I74" s="9" t="n"/>
      <c r="J74" s="9" t="n"/>
      <c r="K74" s="9" t="n"/>
      <c r="L74" s="9" t="n"/>
      <c r="M74" s="9" t="n"/>
      <c r="N74" s="10" t="n"/>
    </row>
    <row r="76" ht="20" customHeight="1">
      <c r="A76" s="5" t="inlineStr">
        <is>
          <t>7 · Compétences  (Bonus = Valeur + MOD de la carac liée)</t>
        </is>
      </c>
      <c r="B76" s="9" t="n"/>
      <c r="C76" s="9" t="n"/>
      <c r="D76" s="9" t="n"/>
      <c r="E76" s="9" t="n"/>
      <c r="F76" s="9" t="n"/>
      <c r="G76" s="9" t="n"/>
      <c r="H76" s="9" t="n"/>
      <c r="I76" s="9" t="n"/>
      <c r="J76" s="9" t="n"/>
      <c r="K76" s="9" t="n"/>
      <c r="L76" s="9" t="n"/>
      <c r="M76" s="9" t="n"/>
      <c r="N76" s="10" t="n"/>
    </row>
    <row r="77">
      <c r="A77" s="19" t="inlineStr">
        <is>
          <t>Champ Martial</t>
        </is>
      </c>
      <c r="B77" s="9" t="n"/>
      <c r="C77" s="9" t="n"/>
      <c r="D77" s="10" t="n"/>
      <c r="E77" s="26" t="n"/>
      <c r="F77" s="19" t="inlineStr">
        <is>
          <t>Champ Social</t>
        </is>
      </c>
      <c r="G77" s="9" t="n"/>
      <c r="H77" s="9" t="n"/>
      <c r="I77" s="10" t="n"/>
      <c r="J77" s="26" t="n"/>
      <c r="K77" s="19" t="inlineStr">
        <is>
          <t>Champ Intellectuel</t>
        </is>
      </c>
      <c r="L77" s="9" t="n"/>
      <c r="M77" s="9" t="n"/>
      <c r="N77" s="10" t="n"/>
    </row>
    <row r="78">
      <c r="A78" s="14" t="inlineStr">
        <is>
          <t>Compétence</t>
        </is>
      </c>
      <c r="B78" s="14" t="inlineStr">
        <is>
          <t>Carac</t>
        </is>
      </c>
      <c r="C78" s="14" t="inlineStr">
        <is>
          <t>Valeur</t>
        </is>
      </c>
      <c r="D78" s="14" t="inlineStr">
        <is>
          <t>Bonus</t>
        </is>
      </c>
      <c r="E78" s="26" t="n"/>
      <c r="F78" s="14" t="inlineStr">
        <is>
          <t>Compétence</t>
        </is>
      </c>
      <c r="G78" s="14" t="inlineStr">
        <is>
          <t>Carac</t>
        </is>
      </c>
      <c r="H78" s="14" t="inlineStr">
        <is>
          <t>Valeur</t>
        </is>
      </c>
      <c r="I78" s="14" t="inlineStr">
        <is>
          <t>Bonus</t>
        </is>
      </c>
      <c r="J78" s="26" t="n"/>
      <c r="K78" s="14" t="inlineStr">
        <is>
          <t>Compétence</t>
        </is>
      </c>
      <c r="L78" s="14" t="inlineStr">
        <is>
          <t>Carac</t>
        </is>
      </c>
      <c r="M78" s="14" t="inlineStr">
        <is>
          <t>Valeur</t>
        </is>
      </c>
      <c r="N78" s="14" t="inlineStr">
        <is>
          <t>Bonus</t>
        </is>
      </c>
    </row>
    <row r="79">
      <c r="A79" s="20" t="inlineStr">
        <is>
          <t>Initiative</t>
        </is>
      </c>
      <c r="B79" s="21" t="inlineStr">
        <is>
          <t>AGI</t>
        </is>
      </c>
      <c r="C79" s="11" t="n">
        <v>0</v>
      </c>
      <c r="D79" s="12">
        <f>C79+C24+10</f>
        <v/>
      </c>
      <c r="E79" s="26" t="n"/>
      <c r="F79" s="20" t="inlineStr">
        <is>
          <t>Persuasion</t>
        </is>
      </c>
      <c r="G79" s="21" t="inlineStr">
        <is>
          <t>CHA</t>
        </is>
      </c>
      <c r="H79" s="11" t="n">
        <v>0</v>
      </c>
      <c r="I79" s="12">
        <f>H79+H27</f>
        <v/>
      </c>
      <c r="J79" s="26" t="n"/>
      <c r="K79" s="20" t="inlineStr">
        <is>
          <t>Histoire</t>
        </is>
      </c>
      <c r="L79" s="21" t="inlineStr">
        <is>
          <t>ÉRU</t>
        </is>
      </c>
      <c r="M79" s="11" t="n">
        <v>0</v>
      </c>
      <c r="N79" s="12">
        <f>M79+H25</f>
        <v/>
      </c>
    </row>
    <row r="80">
      <c r="A80" s="20" t="inlineStr">
        <is>
          <t>Armes de mêlée</t>
        </is>
      </c>
      <c r="B80" s="21" t="inlineStr">
        <is>
          <t>DEX</t>
        </is>
      </c>
      <c r="C80" s="11" t="n">
        <v>0</v>
      </c>
      <c r="D80" s="12">
        <f>C80+C23+IF($B$9="Armes de mêlée",10,0)</f>
        <v/>
      </c>
      <c r="E80" s="26" t="n"/>
      <c r="F80" s="20" t="inlineStr">
        <is>
          <t>Rhétorique</t>
        </is>
      </c>
      <c r="G80" s="21" t="inlineStr">
        <is>
          <t>CHA</t>
        </is>
      </c>
      <c r="H80" s="11" t="n">
        <v>0</v>
      </c>
      <c r="I80" s="12">
        <f>H80+H27</f>
        <v/>
      </c>
      <c r="J80" s="26" t="n"/>
      <c r="K80" s="20" t="inlineStr">
        <is>
          <t>Archéologie</t>
        </is>
      </c>
      <c r="L80" s="21" t="inlineStr">
        <is>
          <t>ÉRU</t>
        </is>
      </c>
      <c r="M80" s="11" t="n">
        <v>0</v>
      </c>
      <c r="N80" s="12">
        <f>M80+H25</f>
        <v/>
      </c>
    </row>
    <row r="81">
      <c r="A81" s="20" t="inlineStr">
        <is>
          <t>Armes de jet</t>
        </is>
      </c>
      <c r="B81" s="21" t="inlineStr">
        <is>
          <t>DEX</t>
        </is>
      </c>
      <c r="C81" s="11" t="n">
        <v>0</v>
      </c>
      <c r="D81" s="12">
        <f>C81+C23+IF($B$9="Armes de jet",10,0)</f>
        <v/>
      </c>
      <c r="E81" s="26" t="n"/>
      <c r="F81" s="20" t="inlineStr">
        <is>
          <t>Négociation</t>
        </is>
      </c>
      <c r="G81" s="21" t="inlineStr">
        <is>
          <t>CHA</t>
        </is>
      </c>
      <c r="H81" s="11" t="n">
        <v>0</v>
      </c>
      <c r="I81" s="12">
        <f>H81+H27</f>
        <v/>
      </c>
      <c r="J81" s="26" t="n"/>
      <c r="K81" s="20" t="inlineStr">
        <is>
          <t>Géographie</t>
        </is>
      </c>
      <c r="L81" s="21" t="inlineStr">
        <is>
          <t>ÉRU</t>
        </is>
      </c>
      <c r="M81" s="11" t="n">
        <v>0</v>
      </c>
      <c r="N81" s="12">
        <f>M81+H25</f>
        <v/>
      </c>
    </row>
    <row r="82">
      <c r="A82" s="20" t="inlineStr">
        <is>
          <t>Archerie</t>
        </is>
      </c>
      <c r="B82" s="21" t="inlineStr">
        <is>
          <t>DEX</t>
        </is>
      </c>
      <c r="C82" s="11" t="n">
        <v>0</v>
      </c>
      <c r="D82" s="12">
        <f>C82+C23+IF($B$9="Archerie",10,0)</f>
        <v/>
      </c>
      <c r="E82" s="26" t="n"/>
      <c r="F82" s="20" t="inlineStr">
        <is>
          <t>Tromperie</t>
        </is>
      </c>
      <c r="G82" s="21" t="inlineStr">
        <is>
          <t>CHA</t>
        </is>
      </c>
      <c r="H82" s="11" t="n">
        <v>0</v>
      </c>
      <c r="I82" s="12">
        <f>H82+H27</f>
        <v/>
      </c>
      <c r="J82" s="26" t="n"/>
      <c r="K82" s="20" t="inlineStr">
        <is>
          <t>Cartographie</t>
        </is>
      </c>
      <c r="L82" s="21" t="inlineStr">
        <is>
          <t>LOG</t>
        </is>
      </c>
      <c r="M82" s="11" t="n">
        <v>0</v>
      </c>
      <c r="N82" s="12">
        <f>M82+H23</f>
        <v/>
      </c>
    </row>
    <row r="83">
      <c r="A83" s="20" t="inlineStr">
        <is>
          <t>Armes à feu</t>
        </is>
      </c>
      <c r="B83" s="21" t="inlineStr">
        <is>
          <t>DEX</t>
        </is>
      </c>
      <c r="C83" s="11" t="n">
        <v>0</v>
      </c>
      <c r="D83" s="12">
        <f>C83+C23+IF($B$9="Armes à feu",10,0)</f>
        <v/>
      </c>
      <c r="E83" s="26" t="n"/>
      <c r="F83" s="20" t="inlineStr">
        <is>
          <t>Séduction</t>
        </is>
      </c>
      <c r="G83" s="21" t="inlineStr">
        <is>
          <t>CHA</t>
        </is>
      </c>
      <c r="H83" s="11" t="n">
        <v>0</v>
      </c>
      <c r="I83" s="12">
        <f>H83+H27</f>
        <v/>
      </c>
      <c r="J83" s="26" t="n"/>
      <c r="K83" s="20" t="inlineStr">
        <is>
          <t>Économie</t>
        </is>
      </c>
      <c r="L83" s="21" t="inlineStr">
        <is>
          <t>ÉRU</t>
        </is>
      </c>
      <c r="M83" s="11" t="n">
        <v>0</v>
      </c>
      <c r="N83" s="12">
        <f>M83+H25</f>
        <v/>
      </c>
    </row>
    <row r="84">
      <c r="A84" s="20" t="inlineStr">
        <is>
          <t>Parade</t>
        </is>
      </c>
      <c r="B84" s="21" t="inlineStr">
        <is>
          <t>DEX</t>
        </is>
      </c>
      <c r="C84" s="11" t="n">
        <v>0</v>
      </c>
      <c r="D84" s="12">
        <f>C84+C23+IF($G$9="Parade",10,0)</f>
        <v/>
      </c>
      <c r="E84" s="26" t="n"/>
      <c r="F84" s="20" t="inlineStr">
        <is>
          <t>Intimidation</t>
        </is>
      </c>
      <c r="G84" s="21" t="inlineStr">
        <is>
          <t>PRÉ</t>
        </is>
      </c>
      <c r="H84" s="11" t="n">
        <v>0</v>
      </c>
      <c r="I84" s="12">
        <f>H84+C27</f>
        <v/>
      </c>
      <c r="J84" s="26" t="n"/>
      <c r="K84" s="20" t="inlineStr">
        <is>
          <t>Estimation</t>
        </is>
      </c>
      <c r="L84" s="21" t="inlineStr">
        <is>
          <t>ÉRU</t>
        </is>
      </c>
      <c r="M84" s="11" t="n">
        <v>0</v>
      </c>
      <c r="N84" s="12">
        <f>M84+H25</f>
        <v/>
      </c>
    </row>
    <row r="85">
      <c r="A85" s="20" t="inlineStr">
        <is>
          <t>Esquive</t>
        </is>
      </c>
      <c r="B85" s="21" t="inlineStr">
        <is>
          <t>AGI</t>
        </is>
      </c>
      <c r="C85" s="11" t="n">
        <v>0</v>
      </c>
      <c r="D85" s="12">
        <f>C85+C24+IF($G$9="Esquive",10,0)</f>
        <v/>
      </c>
      <c r="E85" s="26" t="n"/>
      <c r="F85" s="20" t="inlineStr">
        <is>
          <t>Interrogatoire</t>
        </is>
      </c>
      <c r="G85" s="21" t="inlineStr">
        <is>
          <t>CHA</t>
        </is>
      </c>
      <c r="H85" s="11" t="n">
        <v>0</v>
      </c>
      <c r="I85" s="12">
        <f>H85+H27</f>
        <v/>
      </c>
      <c r="J85" s="26" t="n"/>
      <c r="K85" s="20" t="inlineStr">
        <is>
          <t>Politique</t>
        </is>
      </c>
      <c r="L85" s="21" t="inlineStr">
        <is>
          <t>ÉRU</t>
        </is>
      </c>
      <c r="M85" s="11" t="n">
        <v>0</v>
      </c>
      <c r="N85" s="12">
        <f>M85+H25</f>
        <v/>
      </c>
    </row>
    <row r="86">
      <c r="A86" s="26" t="n"/>
      <c r="B86" s="26" t="n"/>
      <c r="C86" s="26" t="n"/>
      <c r="D86" s="26" t="n"/>
      <c r="E86" s="26" t="n"/>
      <c r="F86" s="20" t="inlineStr">
        <is>
          <t>Commandement</t>
        </is>
      </c>
      <c r="G86" s="21" t="inlineStr">
        <is>
          <t>PRÉ</t>
        </is>
      </c>
      <c r="H86" s="11" t="n">
        <v>0</v>
      </c>
      <c r="I86" s="12">
        <f>H86+C27</f>
        <v/>
      </c>
      <c r="J86" s="26" t="n"/>
      <c r="K86" s="20" t="inlineStr">
        <is>
          <t>Droit</t>
        </is>
      </c>
      <c r="L86" s="21" t="inlineStr">
        <is>
          <t>ÉRU</t>
        </is>
      </c>
      <c r="M86" s="11" t="n">
        <v>0</v>
      </c>
      <c r="N86" s="12">
        <f>M86+H25</f>
        <v/>
      </c>
    </row>
    <row r="87">
      <c r="A87" s="19" t="inlineStr">
        <is>
          <t>Champ Athlétique</t>
        </is>
      </c>
      <c r="B87" s="9" t="n"/>
      <c r="C87" s="9" t="n"/>
      <c r="D87" s="10" t="n"/>
      <c r="E87" s="26" t="n"/>
      <c r="F87" s="20" t="inlineStr">
        <is>
          <t>Pédagogie</t>
        </is>
      </c>
      <c r="G87" s="21" t="inlineStr">
        <is>
          <t>ÉRU</t>
        </is>
      </c>
      <c r="H87" s="11" t="n">
        <v>0</v>
      </c>
      <c r="I87" s="12">
        <f>H87+H25</f>
        <v/>
      </c>
      <c r="J87" s="26" t="n"/>
      <c r="K87" s="20" t="inlineStr">
        <is>
          <t>Langues</t>
        </is>
      </c>
      <c r="L87" s="21" t="inlineStr">
        <is>
          <t>ÉRU</t>
        </is>
      </c>
      <c r="M87" s="11" t="n">
        <v>0</v>
      </c>
      <c r="N87" s="12">
        <f>M87+H25</f>
        <v/>
      </c>
    </row>
    <row r="88">
      <c r="A88" s="14" t="inlineStr">
        <is>
          <t>Compétence</t>
        </is>
      </c>
      <c r="B88" s="14" t="inlineStr">
        <is>
          <t>Carac</t>
        </is>
      </c>
      <c r="C88" s="14" t="inlineStr">
        <is>
          <t>Valeur</t>
        </is>
      </c>
      <c r="D88" s="14" t="inlineStr">
        <is>
          <t>Bonus</t>
        </is>
      </c>
      <c r="E88" s="26" t="n"/>
      <c r="F88" s="20" t="inlineStr">
        <is>
          <t>Relation</t>
        </is>
      </c>
      <c r="G88" s="21" t="inlineStr">
        <is>
          <t>CHA</t>
        </is>
      </c>
      <c r="H88" s="11" t="n">
        <v>0</v>
      </c>
      <c r="I88" s="12">
        <f>H88+H27</f>
        <v/>
      </c>
      <c r="J88" s="26" t="n"/>
      <c r="K88" s="20" t="inlineStr">
        <is>
          <t>Astronomie</t>
        </is>
      </c>
      <c r="L88" s="21" t="inlineStr">
        <is>
          <t>ÉRU</t>
        </is>
      </c>
      <c r="M88" s="11" t="n">
        <v>0</v>
      </c>
      <c r="N88" s="12">
        <f>M88+H25</f>
        <v/>
      </c>
    </row>
    <row r="89">
      <c r="A89" s="20" t="inlineStr">
        <is>
          <t>Course</t>
        </is>
      </c>
      <c r="B89" s="21" t="inlineStr">
        <is>
          <t>AGI</t>
        </is>
      </c>
      <c r="C89" s="11" t="n">
        <v>0</v>
      </c>
      <c r="D89" s="12">
        <f>C89+C24</f>
        <v/>
      </c>
      <c r="E89" s="26" t="n"/>
      <c r="F89" s="20" t="inlineStr">
        <is>
          <t>Étiquette</t>
        </is>
      </c>
      <c r="G89" s="21" t="inlineStr">
        <is>
          <t>ÉRU</t>
        </is>
      </c>
      <c r="H89" s="11" t="n">
        <v>0</v>
      </c>
      <c r="I89" s="12">
        <f>H89+H25</f>
        <v/>
      </c>
      <c r="J89" s="26" t="n"/>
      <c r="K89" s="20" t="inlineStr">
        <is>
          <t>Architecture</t>
        </is>
      </c>
      <c r="L89" s="21" t="inlineStr">
        <is>
          <t>ÉRU</t>
        </is>
      </c>
      <c r="M89" s="11" t="n">
        <v>0</v>
      </c>
      <c r="N89" s="12">
        <f>M89+H25</f>
        <v/>
      </c>
    </row>
    <row r="90">
      <c r="A90" s="20" t="inlineStr">
        <is>
          <t>Saut</t>
        </is>
      </c>
      <c r="B90" s="21" t="inlineStr">
        <is>
          <t>AGI</t>
        </is>
      </c>
      <c r="C90" s="11" t="n">
        <v>0</v>
      </c>
      <c r="D90" s="12">
        <f>C90+C24</f>
        <v/>
      </c>
      <c r="E90" s="26" t="n"/>
      <c r="F90" s="20" t="inlineStr">
        <is>
          <t>Style</t>
        </is>
      </c>
      <c r="G90" s="21" t="inlineStr">
        <is>
          <t>PRÉ</t>
        </is>
      </c>
      <c r="H90" s="11" t="n">
        <v>0</v>
      </c>
      <c r="I90" s="12">
        <f>H90+C27</f>
        <v/>
      </c>
      <c r="J90" s="26" t="n"/>
      <c r="K90" s="20" t="inlineStr">
        <is>
          <t>Géologie</t>
        </is>
      </c>
      <c r="L90" s="21" t="inlineStr">
        <is>
          <t>ÉRU</t>
        </is>
      </c>
      <c r="M90" s="11" t="n">
        <v>0</v>
      </c>
      <c r="N90" s="12">
        <f>M90+H25</f>
        <v/>
      </c>
    </row>
    <row r="91">
      <c r="A91" s="20" t="inlineStr">
        <is>
          <t>Natation</t>
        </is>
      </c>
      <c r="B91" s="21" t="inlineStr">
        <is>
          <t>AGI</t>
        </is>
      </c>
      <c r="C91" s="11" t="n">
        <v>0</v>
      </c>
      <c r="D91" s="12">
        <f>C91+C24</f>
        <v/>
      </c>
      <c r="E91" s="26" t="n"/>
      <c r="F91" s="26" t="n"/>
      <c r="G91" s="26" t="n"/>
      <c r="H91" s="26" t="n"/>
      <c r="I91" s="26" t="n"/>
      <c r="J91" s="26" t="n"/>
      <c r="K91" s="20" t="inlineStr">
        <is>
          <t>Biologie</t>
        </is>
      </c>
      <c r="L91" s="21" t="inlineStr">
        <is>
          <t>ÉRU</t>
        </is>
      </c>
      <c r="M91" s="11" t="n">
        <v>0</v>
      </c>
      <c r="N91" s="12">
        <f>M91+H25</f>
        <v/>
      </c>
    </row>
    <row r="92">
      <c r="A92" s="20" t="inlineStr">
        <is>
          <t>Escalade</t>
        </is>
      </c>
      <c r="B92" s="21" t="inlineStr">
        <is>
          <t>AGI</t>
        </is>
      </c>
      <c r="C92" s="11" t="n">
        <v>0</v>
      </c>
      <c r="D92" s="12">
        <f>C92+C24</f>
        <v/>
      </c>
      <c r="E92" s="26" t="n"/>
      <c r="F92" s="19" t="inlineStr">
        <is>
          <t>Champ Naturel</t>
        </is>
      </c>
      <c r="G92" s="9" t="n"/>
      <c r="H92" s="9" t="n"/>
      <c r="I92" s="10" t="n"/>
      <c r="J92" s="26" t="n"/>
      <c r="K92" s="20" t="inlineStr">
        <is>
          <t>Faune</t>
        </is>
      </c>
      <c r="L92" s="21" t="inlineStr">
        <is>
          <t>ÉRU</t>
        </is>
      </c>
      <c r="M92" s="11" t="n">
        <v>0</v>
      </c>
      <c r="N92" s="12">
        <f>M92+H25</f>
        <v/>
      </c>
    </row>
    <row r="93">
      <c r="A93" s="20" t="inlineStr">
        <is>
          <t>Équilibre</t>
        </is>
      </c>
      <c r="B93" s="21" t="inlineStr">
        <is>
          <t>AGI</t>
        </is>
      </c>
      <c r="C93" s="11" t="n">
        <v>0</v>
      </c>
      <c r="D93" s="12">
        <f>C93+C24</f>
        <v/>
      </c>
      <c r="E93" s="26" t="n"/>
      <c r="F93" s="14" t="inlineStr">
        <is>
          <t>Compétence</t>
        </is>
      </c>
      <c r="G93" s="14" t="inlineStr">
        <is>
          <t>Carac</t>
        </is>
      </c>
      <c r="H93" s="14" t="inlineStr">
        <is>
          <t>Valeur</t>
        </is>
      </c>
      <c r="I93" s="14" t="inlineStr">
        <is>
          <t>Bonus</t>
        </is>
      </c>
      <c r="J93" s="26" t="n"/>
      <c r="K93" s="20" t="inlineStr">
        <is>
          <t>Flore</t>
        </is>
      </c>
      <c r="L93" s="21" t="inlineStr">
        <is>
          <t>ÉRU</t>
        </is>
      </c>
      <c r="M93" s="11" t="n">
        <v>0</v>
      </c>
      <c r="N93" s="12">
        <f>M93+H25</f>
        <v/>
      </c>
    </row>
    <row r="94">
      <c r="A94" s="20" t="inlineStr">
        <is>
          <t>Contorsion</t>
        </is>
      </c>
      <c r="B94" s="21" t="inlineStr">
        <is>
          <t>AGI</t>
        </is>
      </c>
      <c r="C94" s="11" t="n">
        <v>0</v>
      </c>
      <c r="D94" s="12">
        <f>C94+C24</f>
        <v/>
      </c>
      <c r="E94" s="26" t="n"/>
      <c r="F94" s="20" t="inlineStr">
        <is>
          <t>Survie</t>
        </is>
      </c>
      <c r="G94" s="21" t="inlineStr">
        <is>
          <t>INS</t>
        </is>
      </c>
      <c r="H94" s="11" t="n">
        <v>0</v>
      </c>
      <c r="I94" s="12">
        <f>H94+H24</f>
        <v/>
      </c>
      <c r="J94" s="26" t="n"/>
      <c r="K94" s="20" t="inlineStr">
        <is>
          <t>Météorologie</t>
        </is>
      </c>
      <c r="L94" s="21" t="inlineStr">
        <is>
          <t>ÉRU</t>
        </is>
      </c>
      <c r="M94" s="11" t="n">
        <v>0</v>
      </c>
      <c r="N94" s="12">
        <f>M94+H25</f>
        <v/>
      </c>
    </row>
    <row r="95">
      <c r="A95" s="20" t="inlineStr">
        <is>
          <t>Chute</t>
        </is>
      </c>
      <c r="B95" s="21" t="inlineStr">
        <is>
          <t>AGI</t>
        </is>
      </c>
      <c r="C95" s="11" t="n">
        <v>0</v>
      </c>
      <c r="D95" s="12">
        <f>C95+C24</f>
        <v/>
      </c>
      <c r="E95" s="26" t="n"/>
      <c r="F95" s="20" t="inlineStr">
        <is>
          <t>Pistage</t>
        </is>
      </c>
      <c r="G95" s="21" t="inlineStr">
        <is>
          <t>INS</t>
        </is>
      </c>
      <c r="H95" s="11" t="n">
        <v>0</v>
      </c>
      <c r="I95" s="12">
        <f>H95+H24</f>
        <v/>
      </c>
      <c r="J95" s="26" t="n"/>
      <c r="K95" s="20" t="inlineStr">
        <is>
          <t>Mémorisation</t>
        </is>
      </c>
      <c r="L95" s="21" t="inlineStr">
        <is>
          <t>ÉRU</t>
        </is>
      </c>
      <c r="M95" s="11" t="n">
        <v>0</v>
      </c>
      <c r="N95" s="12">
        <f>M95+H25</f>
        <v/>
      </c>
    </row>
    <row r="96">
      <c r="A96" s="20" t="inlineStr">
        <is>
          <t>Lutte</t>
        </is>
      </c>
      <c r="B96" s="21" t="inlineStr">
        <is>
          <t>FOR</t>
        </is>
      </c>
      <c r="C96" s="11" t="n">
        <v>0</v>
      </c>
      <c r="D96" s="12">
        <f>C96+C22+10</f>
        <v/>
      </c>
      <c r="E96" s="26" t="n"/>
      <c r="F96" s="20" t="inlineStr">
        <is>
          <t>Chasse</t>
        </is>
      </c>
      <c r="G96" s="21" t="inlineStr">
        <is>
          <t>INS</t>
        </is>
      </c>
      <c r="H96" s="11" t="n">
        <v>0</v>
      </c>
      <c r="I96" s="12">
        <f>H96+H24</f>
        <v/>
      </c>
      <c r="J96" s="26" t="n"/>
      <c r="K96" s="20" t="inlineStr">
        <is>
          <t>Occultisme</t>
        </is>
      </c>
      <c r="L96" s="21" t="inlineStr">
        <is>
          <t>ÉRU</t>
        </is>
      </c>
      <c r="M96" s="11" t="n">
        <v>0</v>
      </c>
      <c r="N96" s="12">
        <f>M96+H25</f>
        <v/>
      </c>
    </row>
    <row r="97">
      <c r="A97" s="20" t="inlineStr">
        <is>
          <t>Prouesse de Force</t>
        </is>
      </c>
      <c r="B97" s="21" t="inlineStr">
        <is>
          <t>FOR</t>
        </is>
      </c>
      <c r="C97" s="11" t="n">
        <v>0</v>
      </c>
      <c r="D97" s="12">
        <f>C97+C22</f>
        <v/>
      </c>
      <c r="E97" s="26" t="n"/>
      <c r="F97" s="20" t="inlineStr">
        <is>
          <t>Pêche</t>
        </is>
      </c>
      <c r="G97" s="21" t="inlineStr">
        <is>
          <t>INS</t>
        </is>
      </c>
      <c r="H97" s="11" t="n">
        <v>0</v>
      </c>
      <c r="I97" s="12">
        <f>H97+H24</f>
        <v/>
      </c>
      <c r="J97" s="26" t="n"/>
      <c r="K97" s="20" t="inlineStr">
        <is>
          <t>Théologie</t>
        </is>
      </c>
      <c r="L97" s="21" t="inlineStr">
        <is>
          <t>ÉRU</t>
        </is>
      </c>
      <c r="M97" s="11" t="n">
        <v>0</v>
      </c>
      <c r="N97" s="12">
        <f>M97+H25</f>
        <v/>
      </c>
    </row>
    <row r="98">
      <c r="A98" s="20" t="inlineStr">
        <is>
          <t>Apnée</t>
        </is>
      </c>
      <c r="B98" s="21" t="inlineStr">
        <is>
          <t>END</t>
        </is>
      </c>
      <c r="C98" s="11" t="n">
        <v>0</v>
      </c>
      <c r="D98" s="12">
        <f>C98+C25</f>
        <v/>
      </c>
      <c r="E98" s="26" t="n"/>
      <c r="F98" s="20" t="inlineStr">
        <is>
          <t>Dressage</t>
        </is>
      </c>
      <c r="G98" s="21" t="inlineStr">
        <is>
          <t>INS</t>
        </is>
      </c>
      <c r="H98" s="11" t="n">
        <v>0</v>
      </c>
      <c r="I98" s="12">
        <f>H98+H24</f>
        <v/>
      </c>
      <c r="J98" s="26" t="n"/>
      <c r="K98" s="20" t="inlineStr">
        <is>
          <t>Médecine</t>
        </is>
      </c>
      <c r="L98" s="21" t="inlineStr">
        <is>
          <t>ÉRU</t>
        </is>
      </c>
      <c r="M98" s="11" t="n">
        <v>0</v>
      </c>
      <c r="N98" s="12">
        <f>M98+H25</f>
        <v/>
      </c>
    </row>
    <row r="99">
      <c r="A99" s="26" t="n"/>
      <c r="B99" s="26" t="n"/>
      <c r="C99" s="26" t="n"/>
      <c r="D99" s="26" t="n"/>
      <c r="E99" s="26" t="n"/>
      <c r="F99" s="20" t="inlineStr">
        <is>
          <t>Élevage</t>
        </is>
      </c>
      <c r="G99" s="21" t="inlineStr">
        <is>
          <t>ÉRU</t>
        </is>
      </c>
      <c r="H99" s="11" t="n">
        <v>0</v>
      </c>
      <c r="I99" s="12">
        <f>H99+H25</f>
        <v/>
      </c>
      <c r="J99" s="26" t="n"/>
      <c r="K99" s="20" t="inlineStr">
        <is>
          <t>Enquête</t>
        </is>
      </c>
      <c r="L99" s="21" t="inlineStr">
        <is>
          <t>LOG</t>
        </is>
      </c>
      <c r="M99" s="11" t="n">
        <v>0</v>
      </c>
      <c r="N99" s="12">
        <f>M99+H23</f>
        <v/>
      </c>
    </row>
    <row r="100">
      <c r="A100" s="19" t="inlineStr">
        <is>
          <t>Champ Vital</t>
        </is>
      </c>
      <c r="B100" s="9" t="n"/>
      <c r="C100" s="9" t="n"/>
      <c r="D100" s="10" t="n"/>
      <c r="E100" s="26" t="n"/>
      <c r="F100" s="20" t="inlineStr">
        <is>
          <t>Agriculture</t>
        </is>
      </c>
      <c r="G100" s="21" t="inlineStr">
        <is>
          <t>ÉRU</t>
        </is>
      </c>
      <c r="H100" s="11" t="n">
        <v>0</v>
      </c>
      <c r="I100" s="12">
        <f>H100+H25</f>
        <v/>
      </c>
      <c r="J100" s="26" t="n"/>
      <c r="K100" s="20" t="inlineStr">
        <is>
          <t>Psychologie</t>
        </is>
      </c>
      <c r="L100" s="21" t="inlineStr">
        <is>
          <t>ÉRU</t>
        </is>
      </c>
      <c r="M100" s="11" t="n">
        <v>0</v>
      </c>
      <c r="N100" s="12">
        <f>M100+H25</f>
        <v/>
      </c>
    </row>
    <row r="101">
      <c r="A101" s="14" t="inlineStr">
        <is>
          <t>Compétence</t>
        </is>
      </c>
      <c r="B101" s="14" t="inlineStr">
        <is>
          <t>Carac</t>
        </is>
      </c>
      <c r="C101" s="14" t="inlineStr">
        <is>
          <t>Valeur</t>
        </is>
      </c>
      <c r="D101" s="14" t="inlineStr">
        <is>
          <t>Bonus</t>
        </is>
      </c>
      <c r="E101" s="26" t="n"/>
      <c r="F101" s="26" t="n"/>
      <c r="G101" s="26" t="n"/>
      <c r="H101" s="26" t="n"/>
      <c r="I101" s="26" t="n"/>
      <c r="J101" s="26" t="n"/>
      <c r="K101" s="20" t="inlineStr">
        <is>
          <t>Perspicacité</t>
        </is>
      </c>
      <c r="L101" s="21" t="inlineStr">
        <is>
          <t>INS</t>
        </is>
      </c>
      <c r="M101" s="11" t="n">
        <v>0</v>
      </c>
      <c r="N101" s="12">
        <f>M101+H24</f>
        <v/>
      </c>
    </row>
    <row r="102">
      <c r="A102" s="20" t="inlineStr">
        <is>
          <t>Résistance aux Maladies</t>
        </is>
      </c>
      <c r="B102" s="21" t="inlineStr">
        <is>
          <t>END</t>
        </is>
      </c>
      <c r="C102" s="11" t="n">
        <v>0</v>
      </c>
      <c r="D102" s="12">
        <f>C102+C25</f>
        <v/>
      </c>
      <c r="E102" s="26" t="n"/>
      <c r="F102" s="19" t="inlineStr">
        <is>
          <t>Champ Artisanal</t>
        </is>
      </c>
      <c r="G102" s="9" t="n"/>
      <c r="H102" s="9" t="n"/>
      <c r="I102" s="10" t="n"/>
      <c r="J102" s="26" t="n"/>
      <c r="K102" s="20" t="inlineStr">
        <is>
          <t>Tactique</t>
        </is>
      </c>
      <c r="L102" s="21" t="inlineStr">
        <is>
          <t>LOG</t>
        </is>
      </c>
      <c r="M102" s="11" t="n">
        <v>0</v>
      </c>
      <c r="N102" s="12">
        <f>M102+H23</f>
        <v/>
      </c>
    </row>
    <row r="103">
      <c r="A103" s="20" t="inlineStr">
        <is>
          <t>Résistance aux Toxines</t>
        </is>
      </c>
      <c r="B103" s="21" t="inlineStr">
        <is>
          <t>END</t>
        </is>
      </c>
      <c r="C103" s="11" t="n">
        <v>0</v>
      </c>
      <c r="D103" s="12">
        <f>C103+C25</f>
        <v/>
      </c>
      <c r="E103" s="26" t="n"/>
      <c r="F103" s="14" t="inlineStr">
        <is>
          <t>Compétence</t>
        </is>
      </c>
      <c r="G103" s="14" t="inlineStr">
        <is>
          <t>Carac</t>
        </is>
      </c>
      <c r="H103" s="14" t="inlineStr">
        <is>
          <t>Valeur</t>
        </is>
      </c>
      <c r="I103" s="14" t="inlineStr">
        <is>
          <t>Bonus</t>
        </is>
      </c>
      <c r="J103" s="26" t="n"/>
      <c r="K103" s="20" t="inlineStr">
        <is>
          <t>Jeu d'argent</t>
        </is>
      </c>
      <c r="L103" s="21" t="inlineStr">
        <is>
          <t>LOG</t>
        </is>
      </c>
      <c r="M103" s="11" t="n">
        <v>0</v>
      </c>
      <c r="N103" s="12">
        <f>M103+H23</f>
        <v/>
      </c>
    </row>
    <row r="104">
      <c r="A104" s="20" t="inlineStr">
        <is>
          <t>Résistance à la douleur</t>
        </is>
      </c>
      <c r="B104" s="21" t="inlineStr">
        <is>
          <t>VOL</t>
        </is>
      </c>
      <c r="C104" s="11" t="n">
        <v>0</v>
      </c>
      <c r="D104" s="12">
        <f>C104+H22+10</f>
        <v/>
      </c>
      <c r="E104" s="26" t="n"/>
      <c r="F104" s="20" t="inlineStr">
        <is>
          <t>Forge / Métallurgie</t>
        </is>
      </c>
      <c r="G104" s="21" t="inlineStr">
        <is>
          <t>DEX</t>
        </is>
      </c>
      <c r="H104" s="11" t="n">
        <v>0</v>
      </c>
      <c r="I104" s="12">
        <f>H104+C23</f>
        <v/>
      </c>
      <c r="J104" s="26" t="n"/>
      <c r="K104" s="20" t="inlineStr">
        <is>
          <t>Jeux de stratégie</t>
        </is>
      </c>
      <c r="L104" s="21" t="inlineStr">
        <is>
          <t>LOG</t>
        </is>
      </c>
      <c r="M104" s="11" t="n">
        <v>0</v>
      </c>
      <c r="N104" s="12">
        <f>M104+H23</f>
        <v/>
      </c>
    </row>
    <row r="105">
      <c r="A105" s="20" t="inlineStr">
        <is>
          <t>Résistance à l'Environnement</t>
        </is>
      </c>
      <c r="B105" s="21" t="inlineStr">
        <is>
          <t>END</t>
        </is>
      </c>
      <c r="C105" s="11" t="n">
        <v>0</v>
      </c>
      <c r="D105" s="12">
        <f>C105+C25</f>
        <v/>
      </c>
      <c r="E105" s="26" t="n"/>
      <c r="F105" s="20" t="inlineStr">
        <is>
          <t>Travail du bois</t>
        </is>
      </c>
      <c r="G105" s="21" t="inlineStr">
        <is>
          <t>DEX</t>
        </is>
      </c>
      <c r="H105" s="11" t="n">
        <v>0</v>
      </c>
      <c r="I105" s="12">
        <f>H105+C23</f>
        <v/>
      </c>
      <c r="J105" s="26" t="n"/>
      <c r="K105" s="27" t="n"/>
      <c r="L105" s="26" t="n"/>
      <c r="M105" s="26" t="n"/>
      <c r="N105" s="26" t="n"/>
    </row>
    <row r="106">
      <c r="A106" s="20" t="inlineStr">
        <is>
          <t>Résistance à la Fatigue</t>
        </is>
      </c>
      <c r="B106" s="21" t="inlineStr">
        <is>
          <t>END</t>
        </is>
      </c>
      <c r="C106" s="11" t="n">
        <v>0</v>
      </c>
      <c r="D106" s="12">
        <f>C106+C25</f>
        <v/>
      </c>
      <c r="E106" s="26" t="n"/>
      <c r="F106" s="20" t="inlineStr">
        <is>
          <t>Travail de la pierre</t>
        </is>
      </c>
      <c r="G106" s="21" t="inlineStr">
        <is>
          <t>DEX</t>
        </is>
      </c>
      <c r="H106" s="11" t="n">
        <v>0</v>
      </c>
      <c r="I106" s="12">
        <f>H106+C23</f>
        <v/>
      </c>
      <c r="J106" s="26" t="n"/>
      <c r="K106" s="19" t="inlineStr">
        <is>
          <t>Champ Sensoriel</t>
        </is>
      </c>
      <c r="L106" s="9" t="n"/>
      <c r="M106" s="9" t="n"/>
      <c r="N106" s="10" t="n"/>
    </row>
    <row r="107">
      <c r="A107" s="20" t="inlineStr">
        <is>
          <t>Résistance Mentale</t>
        </is>
      </c>
      <c r="B107" s="21" t="inlineStr">
        <is>
          <t>VOL</t>
        </is>
      </c>
      <c r="C107" s="11" t="n">
        <v>0</v>
      </c>
      <c r="D107" s="12">
        <f>C107+H22</f>
        <v/>
      </c>
      <c r="E107" s="26" t="n"/>
      <c r="F107" s="20" t="inlineStr">
        <is>
          <t>Textile</t>
        </is>
      </c>
      <c r="G107" s="21" t="inlineStr">
        <is>
          <t>DEX</t>
        </is>
      </c>
      <c r="H107" s="11" t="n">
        <v>0</v>
      </c>
      <c r="I107" s="12">
        <f>H107+C23</f>
        <v/>
      </c>
      <c r="J107" s="26" t="n"/>
      <c r="K107" s="14" t="inlineStr">
        <is>
          <t>Compétence</t>
        </is>
      </c>
      <c r="L107" s="14" t="inlineStr">
        <is>
          <t>Carac</t>
        </is>
      </c>
      <c r="M107" s="14" t="inlineStr">
        <is>
          <t>Valeur</t>
        </is>
      </c>
      <c r="N107" s="14" t="inlineStr">
        <is>
          <t>Bonus</t>
        </is>
      </c>
    </row>
    <row r="108">
      <c r="A108" s="27" t="n"/>
      <c r="B108" s="26" t="n"/>
      <c r="C108" s="26" t="n"/>
      <c r="D108" s="26" t="n"/>
      <c r="E108" s="26" t="n"/>
      <c r="F108" s="20" t="inlineStr">
        <is>
          <t>Travail du cuir</t>
        </is>
      </c>
      <c r="G108" s="21" t="inlineStr">
        <is>
          <t>DEX</t>
        </is>
      </c>
      <c r="H108" s="11" t="n">
        <v>0</v>
      </c>
      <c r="I108" s="12">
        <f>H108+C23</f>
        <v/>
      </c>
      <c r="J108" s="26" t="n"/>
      <c r="K108" s="20" t="inlineStr">
        <is>
          <t>Vue</t>
        </is>
      </c>
      <c r="L108" s="21" t="inlineStr">
        <is>
          <t>PER</t>
        </is>
      </c>
      <c r="M108" s="11" t="n">
        <v>0</v>
      </c>
      <c r="N108" s="12">
        <f>M108+C26</f>
        <v/>
      </c>
    </row>
    <row r="109">
      <c r="A109" s="19" t="inlineStr">
        <is>
          <t>Champ Furtif</t>
        </is>
      </c>
      <c r="B109" s="9" t="n"/>
      <c r="C109" s="9" t="n"/>
      <c r="D109" s="10" t="n"/>
      <c r="E109" s="26" t="n"/>
      <c r="F109" s="20" t="inlineStr">
        <is>
          <t>Poterie</t>
        </is>
      </c>
      <c r="G109" s="21" t="inlineStr">
        <is>
          <t>DEX</t>
        </is>
      </c>
      <c r="H109" s="11" t="n">
        <v>0</v>
      </c>
      <c r="I109" s="12">
        <f>H109+C23</f>
        <v/>
      </c>
      <c r="J109" s="26" t="n"/>
      <c r="K109" s="20" t="inlineStr">
        <is>
          <t>Ouïe</t>
        </is>
      </c>
      <c r="L109" s="21" t="inlineStr">
        <is>
          <t>PER</t>
        </is>
      </c>
      <c r="M109" s="11" t="n">
        <v>0</v>
      </c>
      <c r="N109" s="12">
        <f>M109+C26</f>
        <v/>
      </c>
    </row>
    <row r="110">
      <c r="A110" s="14" t="inlineStr">
        <is>
          <t>Compétence</t>
        </is>
      </c>
      <c r="B110" s="14" t="inlineStr">
        <is>
          <t>Carac</t>
        </is>
      </c>
      <c r="C110" s="14" t="inlineStr">
        <is>
          <t>Valeur</t>
        </is>
      </c>
      <c r="D110" s="14" t="inlineStr">
        <is>
          <t>Bonus</t>
        </is>
      </c>
      <c r="E110" s="26" t="n"/>
      <c r="F110" s="20" t="inlineStr">
        <is>
          <t>Verre</t>
        </is>
      </c>
      <c r="G110" s="21" t="inlineStr">
        <is>
          <t>DEX</t>
        </is>
      </c>
      <c r="H110" s="11" t="n">
        <v>0</v>
      </c>
      <c r="I110" s="12">
        <f>H110+C23</f>
        <v/>
      </c>
      <c r="J110" s="26" t="n"/>
      <c r="K110" s="20" t="inlineStr">
        <is>
          <t>Odorat</t>
        </is>
      </c>
      <c r="L110" s="21" t="inlineStr">
        <is>
          <t>PER</t>
        </is>
      </c>
      <c r="M110" s="11" t="n">
        <v>0</v>
      </c>
      <c r="N110" s="12">
        <f>M110+C26</f>
        <v/>
      </c>
    </row>
    <row r="111">
      <c r="A111" s="20" t="inlineStr">
        <is>
          <t>Discrétion</t>
        </is>
      </c>
      <c r="B111" s="21" t="inlineStr">
        <is>
          <t>AGI</t>
        </is>
      </c>
      <c r="C111" s="11" t="n">
        <v>0</v>
      </c>
      <c r="D111" s="12">
        <f>C111+C24</f>
        <v/>
      </c>
      <c r="E111" s="26" t="n"/>
      <c r="F111" s="20" t="inlineStr">
        <is>
          <t>Joaillerie</t>
        </is>
      </c>
      <c r="G111" s="21" t="inlineStr">
        <is>
          <t>DEX</t>
        </is>
      </c>
      <c r="H111" s="11" t="n">
        <v>0</v>
      </c>
      <c r="I111" s="12">
        <f>H111+C23</f>
        <v/>
      </c>
      <c r="J111" s="26" t="n"/>
      <c r="K111" s="20" t="inlineStr">
        <is>
          <t>Goût</t>
        </is>
      </c>
      <c r="L111" s="21" t="inlineStr">
        <is>
          <t>PER</t>
        </is>
      </c>
      <c r="M111" s="11" t="n">
        <v>0</v>
      </c>
      <c r="N111" s="12">
        <f>M111+C26</f>
        <v/>
      </c>
    </row>
    <row r="112">
      <c r="A112" s="20" t="inlineStr">
        <is>
          <t>Camouflage</t>
        </is>
      </c>
      <c r="B112" s="21" t="inlineStr">
        <is>
          <t>DEX</t>
        </is>
      </c>
      <c r="C112" s="11" t="n">
        <v>0</v>
      </c>
      <c r="D112" s="12">
        <f>C112+C23</f>
        <v/>
      </c>
      <c r="E112" s="26" t="n"/>
      <c r="F112" s="20" t="inlineStr">
        <is>
          <t>Cuisine</t>
        </is>
      </c>
      <c r="G112" s="21" t="inlineStr">
        <is>
          <t>DEX</t>
        </is>
      </c>
      <c r="H112" s="11" t="n">
        <v>0</v>
      </c>
      <c r="I112" s="12">
        <f>H112+C23</f>
        <v/>
      </c>
      <c r="J112" s="26" t="n"/>
      <c r="K112" s="20" t="inlineStr">
        <is>
          <t>Toucher</t>
        </is>
      </c>
      <c r="L112" s="21" t="inlineStr">
        <is>
          <t>PER</t>
        </is>
      </c>
      <c r="M112" s="11" t="n">
        <v>0</v>
      </c>
      <c r="N112" s="12">
        <f>M112+C26</f>
        <v/>
      </c>
    </row>
    <row r="113">
      <c r="A113" s="20" t="inlineStr">
        <is>
          <t>Filature</t>
        </is>
      </c>
      <c r="B113" s="21" t="inlineStr">
        <is>
          <t>PER</t>
        </is>
      </c>
      <c r="C113" s="11" t="n">
        <v>0</v>
      </c>
      <c r="D113" s="12">
        <f>C113+C26</f>
        <v/>
      </c>
      <c r="E113" s="26" t="n"/>
      <c r="F113" s="20" t="inlineStr">
        <is>
          <t>Brasserie &amp; distillation</t>
        </is>
      </c>
      <c r="G113" s="21" t="inlineStr">
        <is>
          <t>ÉRU</t>
        </is>
      </c>
      <c r="H113" s="11" t="n">
        <v>0</v>
      </c>
      <c r="I113" s="12">
        <f>H113+H25</f>
        <v/>
      </c>
      <c r="J113" s="26" t="n"/>
      <c r="K113" s="20" t="inlineStr">
        <is>
          <t>Chémesthésie</t>
        </is>
      </c>
      <c r="L113" s="21" t="inlineStr">
        <is>
          <t>INS</t>
        </is>
      </c>
      <c r="M113" s="11" t="n">
        <v>0</v>
      </c>
      <c r="N113" s="12">
        <f>M113+H24</f>
        <v/>
      </c>
    </row>
    <row r="114">
      <c r="A114" s="20" t="inlineStr">
        <is>
          <t>Escamotage</t>
        </is>
      </c>
      <c r="B114" s="21" t="inlineStr">
        <is>
          <t>DEX</t>
        </is>
      </c>
      <c r="C114" s="11" t="n">
        <v>0</v>
      </c>
      <c r="D114" s="12">
        <f>C114+C23</f>
        <v/>
      </c>
      <c r="E114" s="26" t="n"/>
      <c r="F114" s="20" t="inlineStr">
        <is>
          <t>Parfumerie</t>
        </is>
      </c>
      <c r="G114" s="21" t="inlineStr">
        <is>
          <t>ÉRU</t>
        </is>
      </c>
      <c r="H114" s="11" t="n">
        <v>0</v>
      </c>
      <c r="I114" s="12">
        <f>H114+H25</f>
        <v/>
      </c>
      <c r="J114" s="26" t="n"/>
      <c r="K114" s="20" t="inlineStr">
        <is>
          <t>Chronoception</t>
        </is>
      </c>
      <c r="L114" s="21" t="inlineStr">
        <is>
          <t>INS</t>
        </is>
      </c>
      <c r="M114" s="11" t="n">
        <v>0</v>
      </c>
      <c r="N114" s="12">
        <f>M114+H24</f>
        <v/>
      </c>
    </row>
    <row r="115">
      <c r="A115" s="20" t="inlineStr">
        <is>
          <t>Crochetage</t>
        </is>
      </c>
      <c r="B115" s="21" t="inlineStr">
        <is>
          <t>DEX</t>
        </is>
      </c>
      <c r="C115" s="11" t="n">
        <v>0</v>
      </c>
      <c r="D115" s="12">
        <f>C115+C23</f>
        <v/>
      </c>
      <c r="E115" s="26" t="n"/>
      <c r="F115" s="20" t="inlineStr">
        <is>
          <t>Calligraphie</t>
        </is>
      </c>
      <c r="G115" s="21" t="inlineStr">
        <is>
          <t>DEX</t>
        </is>
      </c>
      <c r="H115" s="11" t="n">
        <v>0</v>
      </c>
      <c r="I115" s="12">
        <f>H115+C23</f>
        <v/>
      </c>
      <c r="J115" s="26" t="n"/>
      <c r="K115" s="20" t="inlineStr">
        <is>
          <t>Équilibrioception</t>
        </is>
      </c>
      <c r="L115" s="21" t="inlineStr">
        <is>
          <t>INS</t>
        </is>
      </c>
      <c r="M115" s="11" t="n">
        <v>0</v>
      </c>
      <c r="N115" s="12">
        <f>M115+H24</f>
        <v/>
      </c>
    </row>
    <row r="116">
      <c r="A116" s="20" t="inlineStr">
        <is>
          <t>Pièges</t>
        </is>
      </c>
      <c r="B116" s="21" t="inlineStr">
        <is>
          <t>DEX</t>
        </is>
      </c>
      <c r="C116" s="11" t="n">
        <v>0</v>
      </c>
      <c r="D116" s="12">
        <f>C116+C23</f>
        <v/>
      </c>
      <c r="E116" s="26" t="n"/>
      <c r="F116" s="27" t="n"/>
      <c r="G116" s="28" t="n"/>
      <c r="H116" s="28" t="n"/>
      <c r="I116" s="28" t="n"/>
      <c r="J116" s="26" t="n"/>
      <c r="K116" s="20" t="inlineStr">
        <is>
          <t>Intéroception</t>
        </is>
      </c>
      <c r="L116" s="21" t="inlineStr">
        <is>
          <t>INS</t>
        </is>
      </c>
      <c r="M116" s="11" t="n">
        <v>0</v>
      </c>
      <c r="N116" s="12">
        <f>M116+H24</f>
        <v/>
      </c>
    </row>
    <row r="117">
      <c r="A117" s="20" t="inlineStr">
        <is>
          <t>Déguisement</t>
        </is>
      </c>
      <c r="B117" s="21" t="inlineStr">
        <is>
          <t>DEX</t>
        </is>
      </c>
      <c r="C117" s="11" t="n">
        <v>0</v>
      </c>
      <c r="D117" s="12">
        <f>C117+C23</f>
        <v/>
      </c>
      <c r="E117" s="26" t="n"/>
      <c r="F117" s="19" t="inlineStr">
        <is>
          <t>Champ Artistique</t>
        </is>
      </c>
      <c r="G117" s="9" t="n"/>
      <c r="H117" s="9" t="n"/>
      <c r="I117" s="10" t="n"/>
      <c r="J117" s="26" t="n"/>
      <c r="K117" s="20" t="inlineStr">
        <is>
          <t>Nociception</t>
        </is>
      </c>
      <c r="L117" s="21" t="inlineStr">
        <is>
          <t>INS</t>
        </is>
      </c>
      <c r="M117" s="11" t="n">
        <v>0</v>
      </c>
      <c r="N117" s="12">
        <f>M117+H24</f>
        <v/>
      </c>
    </row>
    <row r="118">
      <c r="A118" s="20" t="inlineStr">
        <is>
          <t>Contrefaçon</t>
        </is>
      </c>
      <c r="B118" s="21" t="inlineStr">
        <is>
          <t>DEX</t>
        </is>
      </c>
      <c r="C118" s="11" t="n">
        <v>0</v>
      </c>
      <c r="D118" s="12">
        <f>C118+C23</f>
        <v/>
      </c>
      <c r="E118" s="26" t="n"/>
      <c r="F118" s="14" t="inlineStr">
        <is>
          <t>Compétence</t>
        </is>
      </c>
      <c r="G118" s="14" t="inlineStr">
        <is>
          <t>Carac</t>
        </is>
      </c>
      <c r="H118" s="14" t="inlineStr">
        <is>
          <t>Valeur</t>
        </is>
      </c>
      <c r="I118" s="14" t="inlineStr">
        <is>
          <t>Bonus</t>
        </is>
      </c>
      <c r="J118" s="26" t="n"/>
      <c r="K118" s="20" t="inlineStr">
        <is>
          <t>Proprioception</t>
        </is>
      </c>
      <c r="L118" s="21" t="inlineStr">
        <is>
          <t>INS</t>
        </is>
      </c>
      <c r="M118" s="11" t="n">
        <v>0</v>
      </c>
      <c r="N118" s="12">
        <f>M118+H24</f>
        <v/>
      </c>
    </row>
    <row r="119">
      <c r="A119" s="26" t="n"/>
      <c r="B119" s="26" t="n"/>
      <c r="C119" s="26" t="n"/>
      <c r="D119" s="26" t="n"/>
      <c r="E119" s="26" t="n"/>
      <c r="F119" s="20" t="inlineStr">
        <is>
          <t>Peinture &amp; dessin</t>
        </is>
      </c>
      <c r="G119" s="21" t="inlineStr">
        <is>
          <t>IMA</t>
        </is>
      </c>
      <c r="H119" s="11" t="n">
        <v>0</v>
      </c>
      <c r="I119" s="12">
        <f>H119+H26</f>
        <v/>
      </c>
      <c r="J119" s="26" t="n"/>
      <c r="K119" s="20" t="inlineStr">
        <is>
          <t>Thermoception</t>
        </is>
      </c>
      <c r="L119" s="21" t="inlineStr">
        <is>
          <t>PER</t>
        </is>
      </c>
      <c r="M119" s="11" t="n">
        <v>0</v>
      </c>
      <c r="N119" s="12">
        <f>M119+C26</f>
        <v/>
      </c>
    </row>
    <row r="120">
      <c r="A120" s="19" t="inlineStr">
        <is>
          <t>Champ Transport</t>
        </is>
      </c>
      <c r="B120" s="9" t="n"/>
      <c r="C120" s="9" t="n"/>
      <c r="D120" s="10" t="n"/>
      <c r="E120" s="26" t="n"/>
      <c r="F120" s="20" t="inlineStr">
        <is>
          <t>Écriture</t>
        </is>
      </c>
      <c r="G120" s="21" t="inlineStr">
        <is>
          <t>IMA</t>
        </is>
      </c>
      <c r="H120" s="11" t="n">
        <v>0</v>
      </c>
      <c r="I120" s="12">
        <f>H120+H26</f>
        <v/>
      </c>
      <c r="J120" s="26" t="n"/>
      <c r="K120" s="20" t="inlineStr">
        <is>
          <t>Séismoréception</t>
        </is>
      </c>
      <c r="L120" s="21" t="inlineStr">
        <is>
          <t>PER</t>
        </is>
      </c>
      <c r="M120" s="11" t="n">
        <v>0</v>
      </c>
      <c r="N120" s="12">
        <f>M120+C26</f>
        <v/>
      </c>
    </row>
    <row r="121">
      <c r="A121" s="14" t="inlineStr">
        <is>
          <t>Compétence</t>
        </is>
      </c>
      <c r="B121" s="14" t="inlineStr">
        <is>
          <t>Carac</t>
        </is>
      </c>
      <c r="C121" s="14" t="inlineStr">
        <is>
          <t>Valeur</t>
        </is>
      </c>
      <c r="D121" s="14" t="inlineStr">
        <is>
          <t>Bonus</t>
        </is>
      </c>
      <c r="E121" s="26" t="n"/>
      <c r="F121" s="20" t="inlineStr">
        <is>
          <t>Conte / Narration</t>
        </is>
      </c>
      <c r="G121" s="21" t="inlineStr">
        <is>
          <t>CHA</t>
        </is>
      </c>
      <c r="H121" s="11" t="n">
        <v>0</v>
      </c>
      <c r="I121" s="12">
        <f>H121+H27</f>
        <v/>
      </c>
      <c r="J121" s="26" t="n"/>
      <c r="K121" s="26" t="n"/>
      <c r="L121" s="26" t="n"/>
      <c r="M121" s="26" t="n"/>
      <c r="N121" s="26" t="n"/>
    </row>
    <row r="122">
      <c r="A122" s="20" t="inlineStr">
        <is>
          <t>Conduite</t>
        </is>
      </c>
      <c r="B122" s="21" t="inlineStr">
        <is>
          <t>DEX</t>
        </is>
      </c>
      <c r="C122" s="11" t="n">
        <v>0</v>
      </c>
      <c r="D122" s="12">
        <f>C122+C23</f>
        <v/>
      </c>
      <c r="E122" s="26" t="n"/>
      <c r="F122" s="20" t="inlineStr">
        <is>
          <t>Musique</t>
        </is>
      </c>
      <c r="G122" s="21" t="inlineStr">
        <is>
          <t>IMA</t>
        </is>
      </c>
      <c r="H122" s="11" t="n">
        <v>0</v>
      </c>
      <c r="I122" s="12">
        <f>H122+H26</f>
        <v/>
      </c>
      <c r="J122" s="26" t="n"/>
      <c r="K122" s="19" t="inlineStr">
        <is>
          <t>Champ Technique</t>
        </is>
      </c>
      <c r="L122" s="9" t="n"/>
      <c r="M122" s="9" t="n"/>
      <c r="N122" s="10" t="n"/>
    </row>
    <row r="123">
      <c r="A123" s="20" t="inlineStr">
        <is>
          <t>Navigation</t>
        </is>
      </c>
      <c r="B123" s="21" t="inlineStr">
        <is>
          <t>DEX</t>
        </is>
      </c>
      <c r="C123" s="11" t="n">
        <v>0</v>
      </c>
      <c r="D123" s="12">
        <f>C123+C23</f>
        <v/>
      </c>
      <c r="E123" s="26" t="n"/>
      <c r="F123" s="20" t="inlineStr">
        <is>
          <t>Chant</t>
        </is>
      </c>
      <c r="G123" s="21" t="inlineStr">
        <is>
          <t>CHA</t>
        </is>
      </c>
      <c r="H123" s="11" t="n">
        <v>0</v>
      </c>
      <c r="I123" s="12">
        <f>H123+H27</f>
        <v/>
      </c>
      <c r="J123" s="26" t="n"/>
      <c r="K123" s="14" t="inlineStr">
        <is>
          <t>Compétence</t>
        </is>
      </c>
      <c r="L123" s="14" t="inlineStr">
        <is>
          <t>Carac</t>
        </is>
      </c>
      <c r="M123" s="14" t="inlineStr">
        <is>
          <t>Valeur</t>
        </is>
      </c>
      <c r="N123" s="14" t="inlineStr">
        <is>
          <t>Bonus</t>
        </is>
      </c>
    </row>
    <row r="124">
      <c r="A124" s="20" t="inlineStr">
        <is>
          <t>Pilotage</t>
        </is>
      </c>
      <c r="B124" s="21" t="inlineStr">
        <is>
          <t>DEX</t>
        </is>
      </c>
      <c r="C124" s="11" t="n">
        <v>0</v>
      </c>
      <c r="D124" s="12">
        <f>C124+C23</f>
        <v/>
      </c>
      <c r="E124" s="26" t="n"/>
      <c r="F124" s="20" t="inlineStr">
        <is>
          <t>Danse</t>
        </is>
      </c>
      <c r="G124" s="21" t="inlineStr">
        <is>
          <t>AGI</t>
        </is>
      </c>
      <c r="H124" s="11" t="n">
        <v>0</v>
      </c>
      <c r="I124" s="12">
        <f>H124+C24</f>
        <v/>
      </c>
      <c r="J124" s="26" t="n"/>
      <c r="K124" s="20" t="inlineStr">
        <is>
          <t>Mécanique</t>
        </is>
      </c>
      <c r="L124" s="21" t="inlineStr">
        <is>
          <t>LOG</t>
        </is>
      </c>
      <c r="M124" s="11" t="n">
        <v>0</v>
      </c>
      <c r="N124" s="12">
        <f>M124+H23</f>
        <v/>
      </c>
    </row>
    <row r="125">
      <c r="A125" s="20" t="inlineStr">
        <is>
          <t>Équitation</t>
        </is>
      </c>
      <c r="B125" s="21" t="inlineStr">
        <is>
          <t>AGI</t>
        </is>
      </c>
      <c r="C125" s="11" t="n">
        <v>0</v>
      </c>
      <c r="D125" s="12">
        <f>C125+C24</f>
        <v/>
      </c>
      <c r="E125" s="26" t="n"/>
      <c r="F125" s="20" t="inlineStr">
        <is>
          <t>Personnification</t>
        </is>
      </c>
      <c r="G125" s="21" t="inlineStr">
        <is>
          <t>CHA</t>
        </is>
      </c>
      <c r="H125" s="11" t="n">
        <v>0</v>
      </c>
      <c r="I125" s="12">
        <f>H125+H27</f>
        <v/>
      </c>
      <c r="J125" s="26" t="n"/>
      <c r="K125" s="20" t="inlineStr">
        <is>
          <t>Électronique</t>
        </is>
      </c>
      <c r="L125" s="21" t="inlineStr">
        <is>
          <t>LOG</t>
        </is>
      </c>
      <c r="M125" s="11" t="n">
        <v>0</v>
      </c>
      <c r="N125" s="12">
        <f>M125+H23</f>
        <v/>
      </c>
    </row>
    <row r="126">
      <c r="A126" s="20" t="inlineStr">
        <is>
          <t>Glisse</t>
        </is>
      </c>
      <c r="B126" s="21" t="inlineStr">
        <is>
          <t>AGI</t>
        </is>
      </c>
      <c r="C126" s="11" t="n">
        <v>0</v>
      </c>
      <c r="D126" s="12">
        <f>C126+C24</f>
        <v/>
      </c>
      <c r="E126" s="26" t="n"/>
      <c r="F126" s="27" t="n"/>
      <c r="G126" s="28" t="n"/>
      <c r="H126" s="28" t="n"/>
      <c r="I126" s="28" t="n"/>
      <c r="J126" s="26" t="n"/>
      <c r="K126" s="20" t="inlineStr">
        <is>
          <t>Programmation</t>
        </is>
      </c>
      <c r="L126" s="21" t="inlineStr">
        <is>
          <t>LOG</t>
        </is>
      </c>
      <c r="M126" s="11" t="n">
        <v>0</v>
      </c>
      <c r="N126" s="12">
        <f>M126+H23</f>
        <v/>
      </c>
    </row>
    <row r="127">
      <c r="A127" s="26" t="n"/>
      <c r="B127" s="26" t="n"/>
      <c r="C127" s="26" t="n"/>
      <c r="D127" s="26" t="n"/>
      <c r="E127" s="26" t="n"/>
      <c r="F127" s="27" t="n"/>
      <c r="G127" s="28" t="n"/>
      <c r="H127" s="28" t="n"/>
      <c r="I127" s="28" t="n"/>
      <c r="J127" s="26" t="n"/>
      <c r="K127" s="20" t="inlineStr">
        <is>
          <t>Cybersécurité</t>
        </is>
      </c>
      <c r="L127" s="21" t="inlineStr">
        <is>
          <t>LOG</t>
        </is>
      </c>
      <c r="M127" s="11" t="n">
        <v>0</v>
      </c>
      <c r="N127" s="12">
        <f>M127+H23</f>
        <v/>
      </c>
    </row>
    <row r="128">
      <c r="A128" s="26" t="n"/>
      <c r="B128" s="26" t="n"/>
      <c r="C128" s="26" t="n"/>
      <c r="D128" s="26" t="n"/>
      <c r="E128" s="26" t="n"/>
      <c r="F128" s="27" t="n"/>
      <c r="G128" s="28" t="n"/>
      <c r="H128" s="28" t="n"/>
      <c r="I128" s="28" t="n"/>
      <c r="J128" s="26" t="n"/>
      <c r="K128" s="20" t="inlineStr">
        <is>
          <t>Réseaux &amp; télécoms</t>
        </is>
      </c>
      <c r="L128" s="21" t="inlineStr">
        <is>
          <t>LOG</t>
        </is>
      </c>
      <c r="M128" s="11" t="n">
        <v>0</v>
      </c>
      <c r="N128" s="12">
        <f>M128+H23</f>
        <v/>
      </c>
    </row>
    <row r="129">
      <c r="A129" s="26" t="n"/>
      <c r="B129" s="26" t="n"/>
      <c r="C129" s="26" t="n"/>
      <c r="D129" s="26" t="n"/>
      <c r="E129" s="26" t="n"/>
      <c r="F129" s="27" t="n"/>
      <c r="G129" s="28" t="n"/>
      <c r="H129" s="28" t="n"/>
      <c r="I129" s="28" t="n"/>
      <c r="J129" s="26" t="n"/>
      <c r="K129" s="20" t="inlineStr">
        <is>
          <t>Cryptographie</t>
        </is>
      </c>
      <c r="L129" s="21" t="inlineStr">
        <is>
          <t>LOG</t>
        </is>
      </c>
      <c r="M129" s="11" t="n">
        <v>0</v>
      </c>
      <c r="N129" s="12">
        <f>M129+H23</f>
        <v/>
      </c>
    </row>
    <row r="130">
      <c r="A130" s="26" t="n"/>
      <c r="B130" s="26" t="n"/>
      <c r="C130" s="26" t="n"/>
      <c r="D130" s="26" t="n"/>
      <c r="E130" s="26" t="n"/>
      <c r="F130" s="27" t="n"/>
      <c r="G130" s="28" t="n"/>
      <c r="H130" s="28" t="n"/>
      <c r="I130" s="28" t="n"/>
      <c r="J130" s="26" t="n"/>
      <c r="K130" s="20" t="inlineStr">
        <is>
          <t>Chimie</t>
        </is>
      </c>
      <c r="L130" s="21" t="inlineStr">
        <is>
          <t>ÉRU</t>
        </is>
      </c>
      <c r="M130" s="11" t="n">
        <v>0</v>
      </c>
      <c r="N130" s="12">
        <f>M130+H25</f>
        <v/>
      </c>
    </row>
    <row r="131">
      <c r="A131" s="26" t="n"/>
      <c r="B131" s="26" t="n"/>
      <c r="C131" s="26" t="n"/>
      <c r="D131" s="26" t="n"/>
      <c r="E131" s="26" t="n"/>
      <c r="F131" s="27" t="n"/>
      <c r="G131" s="28" t="n"/>
      <c r="H131" s="28" t="n"/>
      <c r="I131" s="28" t="n"/>
      <c r="J131" s="26" t="n"/>
      <c r="K131" s="20" t="inlineStr">
        <is>
          <t>Pharmacologie</t>
        </is>
      </c>
      <c r="L131" s="21" t="inlineStr">
        <is>
          <t>ÉRU</t>
        </is>
      </c>
      <c r="M131" s="11" t="n">
        <v>0</v>
      </c>
      <c r="N131" s="12">
        <f>M131+H25</f>
        <v/>
      </c>
    </row>
    <row r="132">
      <c r="A132" s="26" t="n"/>
      <c r="B132" s="26" t="n"/>
      <c r="C132" s="26" t="n"/>
      <c r="D132" s="26" t="n"/>
      <c r="E132" s="26" t="n"/>
      <c r="F132" s="27" t="n"/>
      <c r="G132" s="28" t="n"/>
      <c r="H132" s="28" t="n"/>
      <c r="I132" s="28" t="n"/>
      <c r="J132" s="26" t="n"/>
      <c r="K132" s="20" t="inlineStr">
        <is>
          <t>Explosifs</t>
        </is>
      </c>
      <c r="L132" s="21" t="inlineStr">
        <is>
          <t>ÉRU</t>
        </is>
      </c>
      <c r="M132" s="11" t="n">
        <v>0</v>
      </c>
      <c r="N132" s="12">
        <f>M132+H25</f>
        <v/>
      </c>
    </row>
    <row r="133">
      <c r="A133" s="26" t="n"/>
      <c r="B133" s="26" t="n"/>
      <c r="C133" s="26" t="n"/>
      <c r="D133" s="26" t="n"/>
      <c r="E133" s="26" t="n"/>
      <c r="F133" s="27" t="n"/>
      <c r="G133" s="28" t="n"/>
      <c r="H133" s="28" t="n"/>
      <c r="I133" s="28" t="n"/>
      <c r="J133" s="26" t="n"/>
      <c r="K133" s="26" t="n"/>
      <c r="L133" s="26" t="n"/>
      <c r="M133" s="26" t="n"/>
      <c r="N133" s="26" t="n"/>
    </row>
    <row r="134">
      <c r="A134" s="26" t="n"/>
      <c r="B134" s="26" t="n"/>
      <c r="C134" s="26" t="n"/>
      <c r="D134" s="26" t="n"/>
      <c r="E134" s="26" t="n"/>
      <c r="F134" s="27" t="n"/>
      <c r="G134" s="28" t="n"/>
      <c r="H134" s="28" t="n"/>
      <c r="I134" s="28" t="n"/>
      <c r="J134" s="26" t="n"/>
      <c r="K134" s="26" t="n"/>
      <c r="L134" s="26" t="n"/>
      <c r="M134" s="26" t="n"/>
      <c r="N134" s="26" t="n"/>
    </row>
    <row r="135">
      <c r="A135" s="26" t="n"/>
      <c r="B135" s="26" t="n"/>
      <c r="C135" s="26" t="n"/>
      <c r="D135" s="26" t="n"/>
      <c r="E135" s="26" t="n"/>
      <c r="F135" s="27" t="n"/>
      <c r="G135" s="28" t="n"/>
      <c r="H135" s="28" t="n"/>
      <c r="I135" s="28" t="n"/>
      <c r="J135" s="26" t="n"/>
      <c r="K135" s="26" t="n"/>
      <c r="L135" s="26" t="n"/>
      <c r="M135" s="26" t="n"/>
      <c r="N135" s="26" t="n"/>
    </row>
    <row r="136">
      <c r="A136" s="26" t="n"/>
      <c r="B136" s="26" t="n"/>
      <c r="C136" s="26" t="n"/>
      <c r="D136" s="26" t="n"/>
      <c r="E136" s="26" t="n"/>
      <c r="F136" s="27" t="n"/>
      <c r="G136" s="28" t="n"/>
      <c r="H136" s="28" t="n"/>
      <c r="I136" s="28" t="n"/>
      <c r="J136" s="26" t="n"/>
      <c r="K136" s="26" t="n"/>
      <c r="L136" s="26" t="n"/>
      <c r="M136" s="26" t="n"/>
      <c r="N136" s="26" t="n"/>
    </row>
    <row r="137">
      <c r="A137" s="26" t="n"/>
      <c r="B137" s="26" t="n"/>
      <c r="C137" s="26" t="n"/>
      <c r="D137" s="26" t="n"/>
      <c r="E137" s="26" t="n"/>
      <c r="F137" s="27" t="n"/>
      <c r="G137" s="28" t="n"/>
      <c r="H137" s="28" t="n"/>
      <c r="I137" s="28" t="n"/>
      <c r="J137" s="26" t="n"/>
      <c r="K137" s="26" t="n"/>
      <c r="L137" s="26" t="n"/>
      <c r="M137" s="26" t="n"/>
      <c r="N137" s="26" t="n"/>
    </row>
    <row r="138">
      <c r="A138" s="26" t="n"/>
      <c r="B138" s="26" t="n"/>
      <c r="C138" s="26" t="n"/>
      <c r="D138" s="26" t="n"/>
      <c r="E138" s="26" t="n"/>
      <c r="F138" s="26" t="n"/>
      <c r="G138" s="26" t="n"/>
      <c r="H138" s="26" t="n"/>
      <c r="I138" s="26" t="n"/>
      <c r="J138" s="26" t="n"/>
      <c r="K138" s="26" t="n"/>
      <c r="L138" s="26" t="n"/>
      <c r="M138" s="26" t="n"/>
      <c r="N138" s="26" t="n"/>
    </row>
    <row r="139">
      <c r="A139" s="26" t="n"/>
      <c r="B139" s="26" t="n"/>
      <c r="C139" s="26" t="n"/>
      <c r="D139" s="26" t="n"/>
      <c r="E139" s="26" t="n"/>
      <c r="F139" s="26" t="n"/>
      <c r="G139" s="26" t="n"/>
      <c r="H139" s="26" t="n"/>
      <c r="I139" s="26" t="n"/>
      <c r="J139" s="26" t="n"/>
      <c r="K139" s="26" t="n"/>
      <c r="L139" s="26" t="n"/>
      <c r="M139" s="26" t="n"/>
      <c r="N139" s="26" t="n"/>
    </row>
    <row r="140" ht="26" customHeight="1">
      <c r="A140" s="24" t="inlineStr">
        <is>
          <t>Total d'un test = d100 + carac liée (MOD) + valeur de compétence, comparé au seuil de difficulté (feuille Référence). Le Bonus affiché (Valeur + MOD) est ce qui s'ajoute au d100 en jeu.</t>
        </is>
      </c>
    </row>
  </sheetData>
  <mergeCells count="44">
    <mergeCell ref="H35:I35"/>
    <mergeCell ref="F56:I56"/>
    <mergeCell ref="F102:I102"/>
    <mergeCell ref="A48:N48"/>
    <mergeCell ref="A30:N30"/>
    <mergeCell ref="A100:D100"/>
    <mergeCell ref="E31:G31"/>
    <mergeCell ref="A64:N64"/>
    <mergeCell ref="A109:D109"/>
    <mergeCell ref="F77:I77"/>
    <mergeCell ref="F92:I92"/>
    <mergeCell ref="G34:I34"/>
    <mergeCell ref="F117:I117"/>
    <mergeCell ref="C35:D35"/>
    <mergeCell ref="A1:N1"/>
    <mergeCell ref="C28:I28"/>
    <mergeCell ref="A77:D77"/>
    <mergeCell ref="G5:I5"/>
    <mergeCell ref="B9:D9"/>
    <mergeCell ref="A37:N37"/>
    <mergeCell ref="A46:N46"/>
    <mergeCell ref="A18:N18"/>
    <mergeCell ref="B5:D5"/>
    <mergeCell ref="A10:N10"/>
    <mergeCell ref="A12:N12"/>
    <mergeCell ref="K21:N21"/>
    <mergeCell ref="A2:N2"/>
    <mergeCell ref="A87:D87"/>
    <mergeCell ref="G9:I9"/>
    <mergeCell ref="A76:N76"/>
    <mergeCell ref="K122:N122"/>
    <mergeCell ref="A58:I58"/>
    <mergeCell ref="A42:N42"/>
    <mergeCell ref="B49:C49"/>
    <mergeCell ref="B74:C74"/>
    <mergeCell ref="K106:N106"/>
    <mergeCell ref="A140:N140"/>
    <mergeCell ref="A120:D120"/>
    <mergeCell ref="A4:N4"/>
    <mergeCell ref="A20:N20"/>
    <mergeCell ref="K77:N77"/>
    <mergeCell ref="F74:N74"/>
    <mergeCell ref="I31:J31"/>
    <mergeCell ref="A40:A41"/>
  </mergeCells>
  <dataValidations count="20">
    <dataValidation sqref="G5" showDropDown="0" showInputMessage="0" showErrorMessage="0" allowBlank="1" type="list">
      <formula1>"Combattant"</formula1>
    </dataValidation>
    <dataValidation sqref="B9" showDropDown="0" showInputMessage="0" showErrorMessage="0" allowBlank="1" type="list">
      <formula1>"Armes de mêlée,Armes de jet,Archerie,Armes à feu"</formula1>
    </dataValidation>
    <dataValidation sqref="G9" showDropDown="0" showInputMessage="0" showErrorMessage="0" allowBlank="1" type="list">
      <formula1>"Parade,Esquive"</formula1>
    </dataValidation>
    <dataValidation sqref="E31" showDropDown="0" showInputMessage="0" showErrorMessage="0" allowBlank="1" type="list">
      <formula1>"Microscopique,Infime,Minuscule,Très petite,Petite,Moyenne,Grande,Très grande,Gigantesque,Colossale,Titanesque"</formula1>
    </dataValidation>
    <dataValidation sqref="F45" showDropDown="0" showInputMessage="0" showErrorMessage="0" allowBlank="1" type="list">
      <formula1>"Oui,Non"</formula1>
    </dataValidation>
    <dataValidation sqref="G45" showDropDown="0" showInputMessage="0" showErrorMessage="0" allowBlank="1" type="list">
      <formula1>"CON,TRA,PER,FEU,FRO,ÉLE,DÉC"</formula1>
    </dataValidation>
    <dataValidation sqref="B49" showDropDown="0" showInputMessage="0" showErrorMessage="0" allowBlank="1" type="list">
      <formula1>=Barèmes!$A$157:$A$168</formula1>
    </dataValidation>
    <dataValidation sqref="F49" showDropDown="0" showInputMessage="0" showErrorMessage="0" allowBlank="1" type="list">
      <formula1>"Oui,Non"</formula1>
    </dataValidation>
    <dataValidation sqref="B66" showDropDown="0" showInputMessage="0" showErrorMessage="0" allowBlank="1" type="list">
      <formula1>"Oui,Non"</formula1>
    </dataValidation>
    <dataValidation sqref="G66" showDropDown="0" showInputMessage="0" showErrorMessage="0" allowBlank="1" type="list">
      <formula1>"Aucun,Basique,Avancé,Expert,Maître"</formula1>
    </dataValidation>
    <dataValidation sqref="B67" showDropDown="0" showInputMessage="0" showErrorMessage="0" allowBlank="1" type="list">
      <formula1>"Oui,Non"</formula1>
    </dataValidation>
    <dataValidation sqref="G67" showDropDown="0" showInputMessage="0" showErrorMessage="0" allowBlank="1" type="list">
      <formula1>"Aucun,Basique,Avancé,Expert,Maître"</formula1>
    </dataValidation>
    <dataValidation sqref="B68" showDropDown="0" showInputMessage="0" showErrorMessage="0" allowBlank="1" type="list">
      <formula1>"Oui,Non"</formula1>
    </dataValidation>
    <dataValidation sqref="G68" showDropDown="0" showInputMessage="0" showErrorMessage="0" allowBlank="1" type="list">
      <formula1>"Aucun,Basique,Avancé,Expert,Maître"</formula1>
    </dataValidation>
    <dataValidation sqref="B69" showDropDown="0" showInputMessage="0" showErrorMessage="0" allowBlank="1" type="list">
      <formula1>"Oui,Non"</formula1>
    </dataValidation>
    <dataValidation sqref="G69" showDropDown="0" showInputMessage="0" showErrorMessage="0" allowBlank="1" type="list">
      <formula1>"Aucun,Basique,Avancé,Expert,Maître"</formula1>
    </dataValidation>
    <dataValidation sqref="B70" showDropDown="0" showInputMessage="0" showErrorMessage="0" allowBlank="1" type="list">
      <formula1>"Oui,Non"</formula1>
    </dataValidation>
    <dataValidation sqref="G70" showDropDown="0" showInputMessage="0" showErrorMessage="0" allowBlank="1" type="list">
      <formula1>"Aucun,Basique,Avancé,Expert,Maître"</formula1>
    </dataValidation>
    <dataValidation sqref="G71" showDropDown="0" showInputMessage="0" showErrorMessage="0" allowBlank="1" type="list">
      <formula1>"Aucun,Basique,Avancé,Expert,Maître"</formula1>
    </dataValidation>
    <dataValidation sqref="G72" showDropDown="0" showInputMessage="0" showErrorMessage="0" allowBlank="1" type="list">
      <formula1>"Aucun,Basique,Avancé,Expert,Maître"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9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4" customWidth="1" min="5" max="5"/>
    <col width="14" customWidth="1" min="6" max="6"/>
    <col width="12" customWidth="1" min="7" max="7"/>
    <col width="12" customWidth="1" min="8" max="8"/>
  </cols>
  <sheetData>
    <row r="1">
      <c r="A1" s="25" t="inlineStr">
        <is>
          <t>BARÈMES — tables de correspondance (feuille de calcul, ne pas modifier)</t>
        </is>
      </c>
    </row>
    <row r="3" ht="20" customHeight="1">
      <c r="A3" s="5" t="inlineStr">
        <is>
          <t>MOD carac (valeur 0–30 → modificateur)</t>
        </is>
      </c>
      <c r="B3" s="10" t="n"/>
    </row>
    <row r="4">
      <c r="A4" s="14" t="inlineStr">
        <is>
          <t>Valeur</t>
        </is>
      </c>
      <c r="B4" s="14" t="inlineStr">
        <is>
          <t>MOD</t>
        </is>
      </c>
    </row>
    <row r="5">
      <c r="A5" s="23" t="n">
        <v>0</v>
      </c>
      <c r="B5" s="23" t="n">
        <v>-25</v>
      </c>
    </row>
    <row r="6">
      <c r="A6" s="21" t="n">
        <v>1</v>
      </c>
      <c r="B6" s="21" t="n">
        <v>-20</v>
      </c>
    </row>
    <row r="7">
      <c r="A7" s="23" t="n">
        <v>2</v>
      </c>
      <c r="B7" s="23" t="n">
        <v>-15</v>
      </c>
    </row>
    <row r="8">
      <c r="A8" s="21" t="n">
        <v>3</v>
      </c>
      <c r="B8" s="21" t="n">
        <v>-10</v>
      </c>
    </row>
    <row r="9">
      <c r="A9" s="23" t="n">
        <v>4</v>
      </c>
      <c r="B9" s="23" t="n">
        <v>-5</v>
      </c>
    </row>
    <row r="10">
      <c r="A10" s="21" t="n">
        <v>5</v>
      </c>
      <c r="B10" s="21" t="n">
        <v>0</v>
      </c>
    </row>
    <row r="11">
      <c r="A11" s="23" t="n">
        <v>6</v>
      </c>
      <c r="B11" s="23" t="n">
        <v>5</v>
      </c>
    </row>
    <row r="12">
      <c r="A12" s="21" t="n">
        <v>7</v>
      </c>
      <c r="B12" s="21" t="n">
        <v>5</v>
      </c>
    </row>
    <row r="13">
      <c r="A13" s="23" t="n">
        <v>8</v>
      </c>
      <c r="B13" s="23" t="n">
        <v>5</v>
      </c>
    </row>
    <row r="14">
      <c r="A14" s="21" t="n">
        <v>9</v>
      </c>
      <c r="B14" s="21" t="n">
        <v>5</v>
      </c>
    </row>
    <row r="15">
      <c r="A15" s="23" t="n">
        <v>10</v>
      </c>
      <c r="B15" s="23" t="n">
        <v>10</v>
      </c>
    </row>
    <row r="16">
      <c r="A16" s="21" t="n">
        <v>11</v>
      </c>
      <c r="B16" s="21" t="n">
        <v>10</v>
      </c>
    </row>
    <row r="17">
      <c r="A17" s="23" t="n">
        <v>12</v>
      </c>
      <c r="B17" s="23" t="n">
        <v>10</v>
      </c>
    </row>
    <row r="18">
      <c r="A18" s="21" t="n">
        <v>13</v>
      </c>
      <c r="B18" s="21" t="n">
        <v>15</v>
      </c>
    </row>
    <row r="19">
      <c r="A19" s="23" t="n">
        <v>14</v>
      </c>
      <c r="B19" s="23" t="n">
        <v>15</v>
      </c>
    </row>
    <row r="20">
      <c r="A20" s="21" t="n">
        <v>15</v>
      </c>
      <c r="B20" s="21" t="n">
        <v>20</v>
      </c>
    </row>
    <row r="21">
      <c r="A21" s="23" t="n">
        <v>16</v>
      </c>
      <c r="B21" s="23" t="n">
        <v>20</v>
      </c>
    </row>
    <row r="22">
      <c r="A22" s="21" t="n">
        <v>17</v>
      </c>
      <c r="B22" s="21" t="n">
        <v>20</v>
      </c>
    </row>
    <row r="23">
      <c r="A23" s="23" t="n">
        <v>18</v>
      </c>
      <c r="B23" s="23" t="n">
        <v>25</v>
      </c>
    </row>
    <row r="24">
      <c r="A24" s="21" t="n">
        <v>19</v>
      </c>
      <c r="B24" s="21" t="n">
        <v>25</v>
      </c>
    </row>
    <row r="25">
      <c r="A25" s="23" t="n">
        <v>20</v>
      </c>
      <c r="B25" s="23" t="n">
        <v>30</v>
      </c>
    </row>
    <row r="26">
      <c r="A26" s="21" t="n">
        <v>21</v>
      </c>
      <c r="B26" s="21" t="n">
        <v>30</v>
      </c>
    </row>
    <row r="27">
      <c r="A27" s="23" t="n">
        <v>22</v>
      </c>
      <c r="B27" s="23" t="n">
        <v>30</v>
      </c>
    </row>
    <row r="28">
      <c r="A28" s="21" t="n">
        <v>23</v>
      </c>
      <c r="B28" s="21" t="n">
        <v>35</v>
      </c>
    </row>
    <row r="29">
      <c r="A29" s="23" t="n">
        <v>24</v>
      </c>
      <c r="B29" s="23" t="n">
        <v>35</v>
      </c>
    </row>
    <row r="30">
      <c r="A30" s="21" t="n">
        <v>25</v>
      </c>
      <c r="B30" s="21" t="n">
        <v>40</v>
      </c>
    </row>
    <row r="31">
      <c r="A31" s="23" t="n">
        <v>26</v>
      </c>
      <c r="B31" s="23" t="n">
        <v>40</v>
      </c>
    </row>
    <row r="32">
      <c r="A32" s="21" t="n">
        <v>27</v>
      </c>
      <c r="B32" s="21" t="n">
        <v>40</v>
      </c>
    </row>
    <row r="33">
      <c r="A33" s="23" t="n">
        <v>28</v>
      </c>
      <c r="B33" s="23" t="n">
        <v>45</v>
      </c>
    </row>
    <row r="34">
      <c r="A34" s="21" t="n">
        <v>29</v>
      </c>
      <c r="B34" s="21" t="n">
        <v>45</v>
      </c>
    </row>
    <row r="35">
      <c r="A35" s="23" t="n">
        <v>30</v>
      </c>
      <c r="B35" s="23" t="n">
        <v>50</v>
      </c>
    </row>
    <row r="37" ht="20" customHeight="1">
      <c r="A37" s="5" t="inlineStr">
        <is>
          <t>Plafond carac par Éclat</t>
        </is>
      </c>
      <c r="B37" s="10" t="n"/>
    </row>
    <row r="38">
      <c r="A38" s="14" t="inlineStr">
        <is>
          <t>Éclat ≥</t>
        </is>
      </c>
      <c r="B38" s="14" t="inlineStr">
        <is>
          <t>Plafond</t>
        </is>
      </c>
    </row>
    <row r="39">
      <c r="A39" s="12" t="n">
        <v>0</v>
      </c>
      <c r="B39" s="12" t="n">
        <v>9</v>
      </c>
    </row>
    <row r="40">
      <c r="A40" s="12" t="n">
        <v>10</v>
      </c>
      <c r="B40" s="12" t="n">
        <v>14</v>
      </c>
    </row>
    <row r="41">
      <c r="A41" s="12" t="n">
        <v>20</v>
      </c>
      <c r="B41" s="12" t="n">
        <v>19</v>
      </c>
    </row>
    <row r="42">
      <c r="A42" s="12" t="n">
        <v>30</v>
      </c>
      <c r="B42" s="12" t="n">
        <v>24</v>
      </c>
    </row>
    <row r="43">
      <c r="A43" s="12" t="n">
        <v>40</v>
      </c>
      <c r="B43" s="12" t="n">
        <v>29</v>
      </c>
    </row>
    <row r="44">
      <c r="A44" s="12" t="n">
        <v>50</v>
      </c>
      <c r="B44" s="12" t="n">
        <v>30</v>
      </c>
    </row>
    <row r="46" ht="20" customHeight="1">
      <c r="A46" s="5" t="inlineStr">
        <is>
          <t>Création par Éclat (moyenne / plafond / budget)</t>
        </is>
      </c>
      <c r="B46" s="9" t="n"/>
      <c r="C46" s="9" t="n"/>
      <c r="D46" s="10" t="n"/>
    </row>
    <row r="47">
      <c r="A47" s="14" t="inlineStr">
        <is>
          <t>Éclat ≥</t>
        </is>
      </c>
      <c r="B47" s="14" t="inlineStr">
        <is>
          <t>Moyenne</t>
        </is>
      </c>
      <c r="C47" s="14" t="inlineStr">
        <is>
          <t>Plafond</t>
        </is>
      </c>
      <c r="D47" s="14" t="inlineStr">
        <is>
          <t>Budget</t>
        </is>
      </c>
    </row>
    <row r="48">
      <c r="A48" s="12" t="n">
        <v>0</v>
      </c>
      <c r="B48" s="12" t="n">
        <v>5</v>
      </c>
      <c r="C48" s="12" t="n">
        <v>7</v>
      </c>
      <c r="D48" s="12" t="n">
        <v>24</v>
      </c>
    </row>
    <row r="49">
      <c r="A49" s="12" t="n">
        <v>15</v>
      </c>
      <c r="B49" s="12" t="n">
        <v>7</v>
      </c>
      <c r="C49" s="12" t="n">
        <v>9</v>
      </c>
      <c r="D49" s="12" t="n">
        <v>48</v>
      </c>
    </row>
    <row r="50">
      <c r="A50" s="12" t="n">
        <v>30</v>
      </c>
      <c r="B50" s="12" t="n">
        <v>9</v>
      </c>
      <c r="C50" s="12" t="n">
        <v>11</v>
      </c>
      <c r="D50" s="12" t="n">
        <v>72</v>
      </c>
    </row>
    <row r="51">
      <c r="A51" s="12" t="n">
        <v>45</v>
      </c>
      <c r="B51" s="12" t="n">
        <v>11</v>
      </c>
      <c r="C51" s="12" t="n">
        <v>13</v>
      </c>
      <c r="D51" s="12" t="n">
        <v>96</v>
      </c>
    </row>
    <row r="53" ht="20" customHeight="1">
      <c r="A53" s="5" t="inlineStr">
        <is>
          <t>Indice de poids (FOR → Légère / Inter / Lourde)</t>
        </is>
      </c>
      <c r="B53" s="9" t="n"/>
      <c r="C53" s="9" t="n"/>
      <c r="D53" s="10" t="n"/>
    </row>
    <row r="54">
      <c r="A54" s="14" t="inlineStr">
        <is>
          <t>FOR</t>
        </is>
      </c>
      <c r="B54" s="14" t="inlineStr">
        <is>
          <t>Légère</t>
        </is>
      </c>
      <c r="C54" s="14" t="inlineStr">
        <is>
          <t>Intermédiaire</t>
        </is>
      </c>
      <c r="D54" s="14" t="inlineStr">
        <is>
          <t>Lourde</t>
        </is>
      </c>
    </row>
    <row r="55">
      <c r="A55" s="23" t="n">
        <v>0</v>
      </c>
      <c r="B55" s="23" t="inlineStr">
        <is>
          <t>0 kg</t>
        </is>
      </c>
      <c r="C55" s="23" t="inlineStr">
        <is>
          <t>0 kg</t>
        </is>
      </c>
      <c r="D55" s="23" t="inlineStr">
        <is>
          <t>0 kg</t>
        </is>
      </c>
    </row>
    <row r="56">
      <c r="A56" s="21" t="n">
        <v>1</v>
      </c>
      <c r="B56" s="21" t="inlineStr">
        <is>
          <t>1 kg</t>
        </is>
      </c>
      <c r="C56" s="21" t="inlineStr">
        <is>
          <t>2 kg</t>
        </is>
      </c>
      <c r="D56" s="21" t="inlineStr">
        <is>
          <t>5 kg</t>
        </is>
      </c>
    </row>
    <row r="57">
      <c r="A57" s="23" t="n">
        <v>2</v>
      </c>
      <c r="B57" s="23" t="inlineStr">
        <is>
          <t>2 kg</t>
        </is>
      </c>
      <c r="C57" s="23" t="inlineStr">
        <is>
          <t>5 kg</t>
        </is>
      </c>
      <c r="D57" s="23" t="inlineStr">
        <is>
          <t>10 kg</t>
        </is>
      </c>
    </row>
    <row r="58">
      <c r="A58" s="21" t="n">
        <v>3</v>
      </c>
      <c r="B58" s="21" t="inlineStr">
        <is>
          <t>3 kg</t>
        </is>
      </c>
      <c r="C58" s="21" t="inlineStr">
        <is>
          <t>8 kg</t>
        </is>
      </c>
      <c r="D58" s="21" t="inlineStr">
        <is>
          <t>20 kg</t>
        </is>
      </c>
    </row>
    <row r="59">
      <c r="A59" s="23" t="n">
        <v>4</v>
      </c>
      <c r="B59" s="23" t="inlineStr">
        <is>
          <t>5 kg</t>
        </is>
      </c>
      <c r="C59" s="23" t="inlineStr">
        <is>
          <t>15 kg</t>
        </is>
      </c>
      <c r="D59" s="23" t="inlineStr">
        <is>
          <t>50 kg</t>
        </is>
      </c>
    </row>
    <row r="60">
      <c r="A60" s="21" t="n">
        <v>5</v>
      </c>
      <c r="B60" s="21" t="inlineStr">
        <is>
          <t>10 kg</t>
        </is>
      </c>
      <c r="C60" s="21" t="inlineStr">
        <is>
          <t>30 kg</t>
        </is>
      </c>
      <c r="D60" s="21" t="inlineStr">
        <is>
          <t>100 kg</t>
        </is>
      </c>
    </row>
    <row r="61">
      <c r="A61" s="23" t="n">
        <v>6</v>
      </c>
      <c r="B61" s="23" t="inlineStr">
        <is>
          <t>20 kg</t>
        </is>
      </c>
      <c r="C61" s="23" t="inlineStr">
        <is>
          <t>60 kg</t>
        </is>
      </c>
      <c r="D61" s="23" t="inlineStr">
        <is>
          <t>200 kg</t>
        </is>
      </c>
    </row>
    <row r="62">
      <c r="A62" s="21" t="n">
        <v>7</v>
      </c>
      <c r="B62" s="21" t="inlineStr">
        <is>
          <t>30 kg</t>
        </is>
      </c>
      <c r="C62" s="21" t="inlineStr">
        <is>
          <t>100 kg</t>
        </is>
      </c>
      <c r="D62" s="21" t="inlineStr">
        <is>
          <t>300 kg</t>
        </is>
      </c>
    </row>
    <row r="63">
      <c r="A63" s="23" t="n">
        <v>8</v>
      </c>
      <c r="B63" s="23" t="inlineStr">
        <is>
          <t>50 kg</t>
        </is>
      </c>
      <c r="C63" s="23" t="inlineStr">
        <is>
          <t>150 kg</t>
        </is>
      </c>
      <c r="D63" s="23" t="inlineStr">
        <is>
          <t>500 kg</t>
        </is>
      </c>
    </row>
    <row r="64">
      <c r="A64" s="21" t="n">
        <v>9</v>
      </c>
      <c r="B64" s="21" t="inlineStr">
        <is>
          <t>100 kg</t>
        </is>
      </c>
      <c r="C64" s="21" t="inlineStr">
        <is>
          <t>300 kg</t>
        </is>
      </c>
      <c r="D64" s="21" t="inlineStr">
        <is>
          <t>1 t</t>
        </is>
      </c>
    </row>
    <row r="65">
      <c r="A65" s="23" t="n">
        <v>10</v>
      </c>
      <c r="B65" s="23" t="inlineStr">
        <is>
          <t>1 t</t>
        </is>
      </c>
      <c r="C65" s="23" t="inlineStr">
        <is>
          <t>3 t</t>
        </is>
      </c>
      <c r="D65" s="23" t="inlineStr">
        <is>
          <t>10 t</t>
        </is>
      </c>
    </row>
    <row r="66">
      <c r="A66" s="21" t="n">
        <v>11</v>
      </c>
      <c r="B66" s="21" t="inlineStr">
        <is>
          <t>2 t</t>
        </is>
      </c>
      <c r="C66" s="21" t="inlineStr">
        <is>
          <t>6 t</t>
        </is>
      </c>
      <c r="D66" s="21" t="inlineStr">
        <is>
          <t>20 t</t>
        </is>
      </c>
    </row>
    <row r="67">
      <c r="A67" s="23" t="n">
        <v>12</v>
      </c>
      <c r="B67" s="23" t="inlineStr">
        <is>
          <t>3 t</t>
        </is>
      </c>
      <c r="C67" s="23" t="inlineStr">
        <is>
          <t>10 t</t>
        </is>
      </c>
      <c r="D67" s="23" t="inlineStr">
        <is>
          <t>30 t</t>
        </is>
      </c>
    </row>
    <row r="68">
      <c r="A68" s="21" t="n">
        <v>13</v>
      </c>
      <c r="B68" s="21" t="inlineStr">
        <is>
          <t>5 t</t>
        </is>
      </c>
      <c r="C68" s="21" t="inlineStr">
        <is>
          <t>15 t</t>
        </is>
      </c>
      <c r="D68" s="21" t="inlineStr">
        <is>
          <t>50 t</t>
        </is>
      </c>
    </row>
    <row r="69">
      <c r="A69" s="23" t="n">
        <v>14</v>
      </c>
      <c r="B69" s="23" t="inlineStr">
        <is>
          <t>10 t</t>
        </is>
      </c>
      <c r="C69" s="23" t="inlineStr">
        <is>
          <t>30 t</t>
        </is>
      </c>
      <c r="D69" s="23" t="inlineStr">
        <is>
          <t>100 t</t>
        </is>
      </c>
    </row>
    <row r="70">
      <c r="A70" s="21" t="n">
        <v>15</v>
      </c>
      <c r="B70" s="21" t="inlineStr">
        <is>
          <t>100 t</t>
        </is>
      </c>
      <c r="C70" s="21" t="inlineStr">
        <is>
          <t>300 t</t>
        </is>
      </c>
      <c r="D70" s="21" t="inlineStr">
        <is>
          <t>1 000 t</t>
        </is>
      </c>
    </row>
    <row r="71">
      <c r="A71" s="23" t="n">
        <v>16</v>
      </c>
      <c r="B71" s="23" t="inlineStr">
        <is>
          <t>200 t</t>
        </is>
      </c>
      <c r="C71" s="23" t="inlineStr">
        <is>
          <t>600 t</t>
        </is>
      </c>
      <c r="D71" s="23" t="inlineStr">
        <is>
          <t>2 000 t</t>
        </is>
      </c>
    </row>
    <row r="72">
      <c r="A72" s="21" t="n">
        <v>17</v>
      </c>
      <c r="B72" s="21" t="inlineStr">
        <is>
          <t>300 t</t>
        </is>
      </c>
      <c r="C72" s="21" t="inlineStr">
        <is>
          <t>1 000 t</t>
        </is>
      </c>
      <c r="D72" s="21" t="inlineStr">
        <is>
          <t>3 000 t</t>
        </is>
      </c>
    </row>
    <row r="73">
      <c r="A73" s="23" t="n">
        <v>18</v>
      </c>
      <c r="B73" s="23" t="inlineStr">
        <is>
          <t>500 t</t>
        </is>
      </c>
      <c r="C73" s="23" t="inlineStr">
        <is>
          <t>1 500 t</t>
        </is>
      </c>
      <c r="D73" s="23" t="inlineStr">
        <is>
          <t>5 000 t</t>
        </is>
      </c>
    </row>
    <row r="74">
      <c r="A74" s="21" t="n">
        <v>19</v>
      </c>
      <c r="B74" s="21" t="inlineStr">
        <is>
          <t>1 000 t</t>
        </is>
      </c>
      <c r="C74" s="21" t="inlineStr">
        <is>
          <t>3 000 t</t>
        </is>
      </c>
      <c r="D74" s="21" t="inlineStr">
        <is>
          <t>10 000 t</t>
        </is>
      </c>
    </row>
    <row r="75">
      <c r="A75" s="23" t="n">
        <v>20</v>
      </c>
      <c r="B75" s="23" t="inlineStr">
        <is>
          <t>10 000 t</t>
        </is>
      </c>
      <c r="C75" s="23" t="inlineStr">
        <is>
          <t>30 000 t</t>
        </is>
      </c>
      <c r="D75" s="23" t="inlineStr">
        <is>
          <t>100 000 t</t>
        </is>
      </c>
    </row>
    <row r="76">
      <c r="A76" s="21" t="n">
        <v>21</v>
      </c>
      <c r="B76" s="21" t="inlineStr">
        <is>
          <t>20 000 t</t>
        </is>
      </c>
      <c r="C76" s="21" t="inlineStr">
        <is>
          <t>60 000 t</t>
        </is>
      </c>
      <c r="D76" s="21" t="inlineStr">
        <is>
          <t>200 000 t</t>
        </is>
      </c>
    </row>
    <row r="77">
      <c r="A77" s="23" t="n">
        <v>22</v>
      </c>
      <c r="B77" s="23" t="inlineStr">
        <is>
          <t>30 000 t</t>
        </is>
      </c>
      <c r="C77" s="23" t="inlineStr">
        <is>
          <t>100 000 t</t>
        </is>
      </c>
      <c r="D77" s="23" t="inlineStr">
        <is>
          <t>300 000 t</t>
        </is>
      </c>
    </row>
    <row r="78">
      <c r="A78" s="21" t="n">
        <v>23</v>
      </c>
      <c r="B78" s="21" t="inlineStr">
        <is>
          <t>50 000 t</t>
        </is>
      </c>
      <c r="C78" s="21" t="inlineStr">
        <is>
          <t>150 000 t</t>
        </is>
      </c>
      <c r="D78" s="21" t="inlineStr">
        <is>
          <t>500 000 t</t>
        </is>
      </c>
    </row>
    <row r="79">
      <c r="A79" s="23" t="n">
        <v>24</v>
      </c>
      <c r="B79" s="23" t="inlineStr">
        <is>
          <t>100 000 t</t>
        </is>
      </c>
      <c r="C79" s="23" t="inlineStr">
        <is>
          <t>300 000 t</t>
        </is>
      </c>
      <c r="D79" s="23" t="inlineStr">
        <is>
          <t>1 000 000 t</t>
        </is>
      </c>
    </row>
    <row r="80">
      <c r="A80" s="21" t="n">
        <v>25</v>
      </c>
      <c r="B80" s="21" t="inlineStr">
        <is>
          <t>1 000 000 t</t>
        </is>
      </c>
      <c r="C80" s="21" t="inlineStr">
        <is>
          <t>3 000 000 t</t>
        </is>
      </c>
      <c r="D80" s="21" t="inlineStr">
        <is>
          <t>10 000 000 t</t>
        </is>
      </c>
    </row>
    <row r="81">
      <c r="A81" s="23" t="n">
        <v>26</v>
      </c>
      <c r="B81" s="23" t="inlineStr">
        <is>
          <t>2M t</t>
        </is>
      </c>
      <c r="C81" s="23" t="inlineStr">
        <is>
          <t>6M t</t>
        </is>
      </c>
      <c r="D81" s="23" t="inlineStr">
        <is>
          <t>20M t</t>
        </is>
      </c>
    </row>
    <row r="82">
      <c r="A82" s="21" t="n">
        <v>27</v>
      </c>
      <c r="B82" s="21" t="inlineStr">
        <is>
          <t>3M t</t>
        </is>
      </c>
      <c r="C82" s="21" t="inlineStr">
        <is>
          <t>10M t</t>
        </is>
      </c>
      <c r="D82" s="21" t="inlineStr">
        <is>
          <t>30M t</t>
        </is>
      </c>
    </row>
    <row r="83">
      <c r="A83" s="23" t="n">
        <v>28</v>
      </c>
      <c r="B83" s="23" t="inlineStr">
        <is>
          <t>5M t</t>
        </is>
      </c>
      <c r="C83" s="23" t="inlineStr">
        <is>
          <t>15M t</t>
        </is>
      </c>
      <c r="D83" s="23" t="inlineStr">
        <is>
          <t>50M t</t>
        </is>
      </c>
    </row>
    <row r="84">
      <c r="A84" s="21" t="n">
        <v>29</v>
      </c>
      <c r="B84" s="21" t="inlineStr">
        <is>
          <t>10M t</t>
        </is>
      </c>
      <c r="C84" s="21" t="inlineStr">
        <is>
          <t>30M t</t>
        </is>
      </c>
      <c r="D84" s="21" t="inlineStr">
        <is>
          <t>100M t</t>
        </is>
      </c>
    </row>
    <row r="85">
      <c r="A85" s="23" t="n">
        <v>30</v>
      </c>
      <c r="B85" s="23" t="inlineStr">
        <is>
          <t>100M t</t>
        </is>
      </c>
      <c r="C85" s="23" t="inlineStr">
        <is>
          <t>300M t</t>
        </is>
      </c>
      <c r="D85" s="23" t="inlineStr">
        <is>
          <t>1 000M t</t>
        </is>
      </c>
    </row>
    <row r="87" ht="20" customHeight="1">
      <c r="A87" s="5" t="inlineStr">
        <is>
          <t>Mouvement (AGI → Légère / Inter / Lourde, par round)</t>
        </is>
      </c>
      <c r="B87" s="9" t="n"/>
      <c r="C87" s="9" t="n"/>
      <c r="D87" s="10" t="n"/>
    </row>
    <row r="88">
      <c r="A88" s="14" t="inlineStr">
        <is>
          <t>AGI</t>
        </is>
      </c>
      <c r="B88" s="14" t="inlineStr">
        <is>
          <t>Légère</t>
        </is>
      </c>
      <c r="C88" s="14" t="inlineStr">
        <is>
          <t>Intermédiaire</t>
        </is>
      </c>
      <c r="D88" s="14" t="inlineStr">
        <is>
          <t>Lourde</t>
        </is>
      </c>
    </row>
    <row r="89">
      <c r="A89" s="23" t="n">
        <v>0</v>
      </c>
      <c r="B89" s="23" t="inlineStr">
        <is>
          <t>0 m</t>
        </is>
      </c>
      <c r="C89" s="23" t="inlineStr">
        <is>
          <t>0 m</t>
        </is>
      </c>
      <c r="D89" s="23" t="inlineStr">
        <is>
          <t>0 m</t>
        </is>
      </c>
    </row>
    <row r="90">
      <c r="A90" s="21" t="n">
        <v>1</v>
      </c>
      <c r="B90" s="21" t="inlineStr">
        <is>
          <t>2 m</t>
        </is>
      </c>
      <c r="C90" s="21" t="inlineStr">
        <is>
          <t>4 m</t>
        </is>
      </c>
      <c r="D90" s="21" t="inlineStr">
        <is>
          <t>10 m</t>
        </is>
      </c>
    </row>
    <row r="91">
      <c r="A91" s="23" t="n">
        <v>2</v>
      </c>
      <c r="B91" s="23" t="inlineStr">
        <is>
          <t>3 m</t>
        </is>
      </c>
      <c r="C91" s="23" t="inlineStr">
        <is>
          <t>6 m</t>
        </is>
      </c>
      <c r="D91" s="23" t="inlineStr">
        <is>
          <t>15 m</t>
        </is>
      </c>
    </row>
    <row r="92">
      <c r="A92" s="21" t="n">
        <v>3</v>
      </c>
      <c r="B92" s="21" t="inlineStr">
        <is>
          <t>4 m</t>
        </is>
      </c>
      <c r="C92" s="21" t="inlineStr">
        <is>
          <t>8 m</t>
        </is>
      </c>
      <c r="D92" s="21" t="inlineStr">
        <is>
          <t>20 m</t>
        </is>
      </c>
    </row>
    <row r="93">
      <c r="A93" s="23" t="n">
        <v>4</v>
      </c>
      <c r="B93" s="23" t="inlineStr">
        <is>
          <t>6 m</t>
        </is>
      </c>
      <c r="C93" s="23" t="inlineStr">
        <is>
          <t>12 m</t>
        </is>
      </c>
      <c r="D93" s="23" t="inlineStr">
        <is>
          <t>30 m</t>
        </is>
      </c>
    </row>
    <row r="94">
      <c r="A94" s="21" t="n">
        <v>5</v>
      </c>
      <c r="B94" s="21" t="inlineStr">
        <is>
          <t>8 m</t>
        </is>
      </c>
      <c r="C94" s="21" t="inlineStr">
        <is>
          <t>16 m</t>
        </is>
      </c>
      <c r="D94" s="21" t="inlineStr">
        <is>
          <t>40 m</t>
        </is>
      </c>
    </row>
    <row r="95">
      <c r="A95" s="23" t="n">
        <v>6</v>
      </c>
      <c r="B95" s="23" t="inlineStr">
        <is>
          <t>10 m</t>
        </is>
      </c>
      <c r="C95" s="23" t="inlineStr">
        <is>
          <t>20 m</t>
        </is>
      </c>
      <c r="D95" s="23" t="inlineStr">
        <is>
          <t>50 m</t>
        </is>
      </c>
    </row>
    <row r="96">
      <c r="A96" s="21" t="n">
        <v>7</v>
      </c>
      <c r="B96" s="21" t="inlineStr">
        <is>
          <t>12 m</t>
        </is>
      </c>
      <c r="C96" s="21" t="inlineStr">
        <is>
          <t>24 m</t>
        </is>
      </c>
      <c r="D96" s="21" t="inlineStr">
        <is>
          <t>60 m</t>
        </is>
      </c>
    </row>
    <row r="97">
      <c r="A97" s="23" t="n">
        <v>8</v>
      </c>
      <c r="B97" s="23" t="inlineStr">
        <is>
          <t>14 m</t>
        </is>
      </c>
      <c r="C97" s="23" t="inlineStr">
        <is>
          <t>28 m</t>
        </is>
      </c>
      <c r="D97" s="23" t="inlineStr">
        <is>
          <t>70 m</t>
        </is>
      </c>
    </row>
    <row r="98">
      <c r="A98" s="21" t="n">
        <v>9</v>
      </c>
      <c r="B98" s="21" t="inlineStr">
        <is>
          <t>16 m</t>
        </is>
      </c>
      <c r="C98" s="21" t="inlineStr">
        <is>
          <t>32 m</t>
        </is>
      </c>
      <c r="D98" s="21" t="inlineStr">
        <is>
          <t>80 m</t>
        </is>
      </c>
    </row>
    <row r="99">
      <c r="A99" s="23" t="n">
        <v>10</v>
      </c>
      <c r="B99" s="23" t="inlineStr">
        <is>
          <t>20 m</t>
        </is>
      </c>
      <c r="C99" s="23" t="inlineStr">
        <is>
          <t>40 m</t>
        </is>
      </c>
      <c r="D99" s="23" t="inlineStr">
        <is>
          <t>100 m</t>
        </is>
      </c>
    </row>
    <row r="100">
      <c r="A100" s="21" t="n">
        <v>11</v>
      </c>
      <c r="B100" s="21" t="inlineStr">
        <is>
          <t>30 m</t>
        </is>
      </c>
      <c r="C100" s="21" t="inlineStr">
        <is>
          <t>60 m</t>
        </is>
      </c>
      <c r="D100" s="21" t="inlineStr">
        <is>
          <t>150 m</t>
        </is>
      </c>
    </row>
    <row r="101">
      <c r="A101" s="23" t="n">
        <v>12</v>
      </c>
      <c r="B101" s="23" t="inlineStr">
        <is>
          <t>40 m</t>
        </is>
      </c>
      <c r="C101" s="23" t="inlineStr">
        <is>
          <t>80 m</t>
        </is>
      </c>
      <c r="D101" s="23" t="inlineStr">
        <is>
          <t>200 m</t>
        </is>
      </c>
    </row>
    <row r="102">
      <c r="A102" s="21" t="n">
        <v>13</v>
      </c>
      <c r="B102" s="21" t="inlineStr">
        <is>
          <t>60 m</t>
        </is>
      </c>
      <c r="C102" s="21" t="inlineStr">
        <is>
          <t>120 m</t>
        </is>
      </c>
      <c r="D102" s="21" t="inlineStr">
        <is>
          <t>300 m</t>
        </is>
      </c>
    </row>
    <row r="103">
      <c r="A103" s="23" t="n">
        <v>14</v>
      </c>
      <c r="B103" s="23" t="inlineStr">
        <is>
          <t>80 m</t>
        </is>
      </c>
      <c r="C103" s="23" t="inlineStr">
        <is>
          <t>160 m</t>
        </is>
      </c>
      <c r="D103" s="23" t="inlineStr">
        <is>
          <t>400 m</t>
        </is>
      </c>
    </row>
    <row r="104">
      <c r="A104" s="21" t="n">
        <v>15</v>
      </c>
      <c r="B104" s="21" t="inlineStr">
        <is>
          <t>100 m</t>
        </is>
      </c>
      <c r="C104" s="21" t="inlineStr">
        <is>
          <t>200 m</t>
        </is>
      </c>
      <c r="D104" s="21" t="inlineStr">
        <is>
          <t>500 m</t>
        </is>
      </c>
    </row>
    <row r="105">
      <c r="A105" s="23" t="n">
        <v>16</v>
      </c>
      <c r="B105" s="23" t="inlineStr">
        <is>
          <t>150 m</t>
        </is>
      </c>
      <c r="C105" s="23" t="inlineStr">
        <is>
          <t>300 m</t>
        </is>
      </c>
      <c r="D105" s="23" t="inlineStr">
        <is>
          <t>750 m</t>
        </is>
      </c>
    </row>
    <row r="106">
      <c r="A106" s="21" t="n">
        <v>17</v>
      </c>
      <c r="B106" s="21" t="inlineStr">
        <is>
          <t>200 m</t>
        </is>
      </c>
      <c r="C106" s="21" t="inlineStr">
        <is>
          <t>400 m</t>
        </is>
      </c>
      <c r="D106" s="21" t="inlineStr">
        <is>
          <t>1 km</t>
        </is>
      </c>
    </row>
    <row r="107">
      <c r="A107" s="23" t="n">
        <v>18</v>
      </c>
      <c r="B107" s="23" t="inlineStr">
        <is>
          <t>300 m</t>
        </is>
      </c>
      <c r="C107" s="23" t="inlineStr">
        <is>
          <t>600 m</t>
        </is>
      </c>
      <c r="D107" s="23" t="inlineStr">
        <is>
          <t>1,5 km</t>
        </is>
      </c>
    </row>
    <row r="108">
      <c r="A108" s="21" t="n">
        <v>19</v>
      </c>
      <c r="B108" s="21" t="inlineStr">
        <is>
          <t>400 m</t>
        </is>
      </c>
      <c r="C108" s="21" t="inlineStr">
        <is>
          <t>800 m</t>
        </is>
      </c>
      <c r="D108" s="21" t="inlineStr">
        <is>
          <t>2 km</t>
        </is>
      </c>
    </row>
    <row r="109">
      <c r="A109" s="23" t="n">
        <v>20</v>
      </c>
      <c r="B109" s="23" t="inlineStr">
        <is>
          <t>600 m</t>
        </is>
      </c>
      <c r="C109" s="23" t="inlineStr">
        <is>
          <t>1,2 km</t>
        </is>
      </c>
      <c r="D109" s="23" t="inlineStr">
        <is>
          <t>3 km</t>
        </is>
      </c>
    </row>
    <row r="110">
      <c r="A110" s="21" t="n">
        <v>21</v>
      </c>
      <c r="B110" s="21" t="inlineStr">
        <is>
          <t>800 m</t>
        </is>
      </c>
      <c r="C110" s="21" t="inlineStr">
        <is>
          <t>1,6 km</t>
        </is>
      </c>
      <c r="D110" s="21" t="inlineStr">
        <is>
          <t>4 km</t>
        </is>
      </c>
    </row>
    <row r="111">
      <c r="A111" s="23" t="n">
        <v>22</v>
      </c>
      <c r="B111" s="23" t="inlineStr">
        <is>
          <t>1 km</t>
        </is>
      </c>
      <c r="C111" s="23" t="inlineStr">
        <is>
          <t>2 km</t>
        </is>
      </c>
      <c r="D111" s="23" t="inlineStr">
        <is>
          <t>5 km</t>
        </is>
      </c>
    </row>
    <row r="112">
      <c r="A112" s="21" t="n">
        <v>23</v>
      </c>
      <c r="B112" s="21" t="inlineStr">
        <is>
          <t>1,5 km</t>
        </is>
      </c>
      <c r="C112" s="21" t="inlineStr">
        <is>
          <t>3 km</t>
        </is>
      </c>
      <c r="D112" s="21" t="inlineStr">
        <is>
          <t>7,5 km</t>
        </is>
      </c>
    </row>
    <row r="113">
      <c r="A113" s="23" t="n">
        <v>24</v>
      </c>
      <c r="B113" s="23" t="inlineStr">
        <is>
          <t>2 km</t>
        </is>
      </c>
      <c r="C113" s="23" t="inlineStr">
        <is>
          <t>4 km</t>
        </is>
      </c>
      <c r="D113" s="23" t="inlineStr">
        <is>
          <t>10 km</t>
        </is>
      </c>
    </row>
    <row r="114">
      <c r="A114" s="21" t="n">
        <v>25</v>
      </c>
      <c r="B114" s="21" t="inlineStr">
        <is>
          <t>3 km</t>
        </is>
      </c>
      <c r="C114" s="21" t="inlineStr">
        <is>
          <t>6 km</t>
        </is>
      </c>
      <c r="D114" s="21" t="inlineStr">
        <is>
          <t>15 km</t>
        </is>
      </c>
    </row>
    <row r="115">
      <c r="A115" s="23" t="n">
        <v>26</v>
      </c>
      <c r="B115" s="23" t="inlineStr">
        <is>
          <t>5 km</t>
        </is>
      </c>
      <c r="C115" s="23" t="inlineStr">
        <is>
          <t>10 km</t>
        </is>
      </c>
      <c r="D115" s="23" t="inlineStr">
        <is>
          <t>25 km</t>
        </is>
      </c>
    </row>
    <row r="116">
      <c r="A116" s="21" t="n">
        <v>27</v>
      </c>
      <c r="B116" s="21" t="inlineStr">
        <is>
          <t>10 km</t>
        </is>
      </c>
      <c r="C116" s="21" t="inlineStr">
        <is>
          <t>20 km</t>
        </is>
      </c>
      <c r="D116" s="21" t="inlineStr">
        <is>
          <t>50 km</t>
        </is>
      </c>
    </row>
    <row r="117">
      <c r="A117" s="23" t="n">
        <v>28</v>
      </c>
      <c r="B117" s="23" t="inlineStr">
        <is>
          <t>20 km</t>
        </is>
      </c>
      <c r="C117" s="23" t="inlineStr">
        <is>
          <t>40 km</t>
        </is>
      </c>
      <c r="D117" s="23" t="inlineStr">
        <is>
          <t>100 km</t>
        </is>
      </c>
    </row>
    <row r="118">
      <c r="A118" s="21" t="n">
        <v>29</v>
      </c>
      <c r="B118" s="21" t="inlineStr">
        <is>
          <t>50 km</t>
        </is>
      </c>
      <c r="C118" s="21" t="inlineStr">
        <is>
          <t>100 km</t>
        </is>
      </c>
      <c r="D118" s="21" t="inlineStr">
        <is>
          <t>250 km</t>
        </is>
      </c>
    </row>
    <row r="119">
      <c r="A119" s="23" t="n">
        <v>30</v>
      </c>
      <c r="B119" s="23" t="inlineStr">
        <is>
          <t>100 km</t>
        </is>
      </c>
      <c r="C119" s="23" t="inlineStr">
        <is>
          <t>200 km</t>
        </is>
      </c>
      <c r="D119" s="23" t="inlineStr">
        <is>
          <t>500 km</t>
        </is>
      </c>
    </row>
    <row r="121" ht="20" customHeight="1">
      <c r="A121" s="5" t="inlineStr">
        <is>
          <t>Apnée (END → Légère / Inter / Lourde)</t>
        </is>
      </c>
      <c r="B121" s="9" t="n"/>
      <c r="C121" s="9" t="n"/>
      <c r="D121" s="10" t="n"/>
    </row>
    <row r="122">
      <c r="A122" s="14" t="inlineStr">
        <is>
          <t>END</t>
        </is>
      </c>
      <c r="B122" s="14" t="inlineStr">
        <is>
          <t>Légère</t>
        </is>
      </c>
      <c r="C122" s="14" t="inlineStr">
        <is>
          <t>Intermédiaire</t>
        </is>
      </c>
      <c r="D122" s="14" t="inlineStr">
        <is>
          <t>Lourde</t>
        </is>
      </c>
    </row>
    <row r="123">
      <c r="A123" s="23" t="n">
        <v>0</v>
      </c>
      <c r="B123" s="23" t="inlineStr">
        <is>
          <t>&lt;6 s</t>
        </is>
      </c>
      <c r="C123" s="23" t="inlineStr">
        <is>
          <t>0 s</t>
        </is>
      </c>
      <c r="D123" s="23" t="inlineStr">
        <is>
          <t>0 s</t>
        </is>
      </c>
    </row>
    <row r="124">
      <c r="A124" s="21" t="n">
        <v>1</v>
      </c>
      <c r="B124" s="21" t="inlineStr">
        <is>
          <t>6 s</t>
        </is>
      </c>
      <c r="C124" s="21" t="inlineStr">
        <is>
          <t>&lt;6 s</t>
        </is>
      </c>
      <c r="D124" s="21" t="inlineStr">
        <is>
          <t>0 s</t>
        </is>
      </c>
    </row>
    <row r="125">
      <c r="A125" s="23" t="n">
        <v>2</v>
      </c>
      <c r="B125" s="23" t="inlineStr">
        <is>
          <t>12 s</t>
        </is>
      </c>
      <c r="C125" s="23" t="inlineStr">
        <is>
          <t>6 s</t>
        </is>
      </c>
      <c r="D125" s="23" t="inlineStr">
        <is>
          <t>&lt;6 s</t>
        </is>
      </c>
    </row>
    <row r="126">
      <c r="A126" s="21" t="n">
        <v>3</v>
      </c>
      <c r="B126" s="21" t="inlineStr">
        <is>
          <t>18 s</t>
        </is>
      </c>
      <c r="C126" s="21" t="inlineStr">
        <is>
          <t>12 s</t>
        </is>
      </c>
      <c r="D126" s="21" t="inlineStr">
        <is>
          <t>6 s</t>
        </is>
      </c>
    </row>
    <row r="127">
      <c r="A127" s="23" t="n">
        <v>4</v>
      </c>
      <c r="B127" s="23" t="inlineStr">
        <is>
          <t>30 s</t>
        </is>
      </c>
      <c r="C127" s="23" t="inlineStr">
        <is>
          <t>18 s</t>
        </is>
      </c>
      <c r="D127" s="23" t="inlineStr">
        <is>
          <t>12 s</t>
        </is>
      </c>
    </row>
    <row r="128">
      <c r="A128" s="21" t="n">
        <v>5</v>
      </c>
      <c r="B128" s="21" t="inlineStr">
        <is>
          <t>1 min</t>
        </is>
      </c>
      <c r="C128" s="21" t="inlineStr">
        <is>
          <t>30 s</t>
        </is>
      </c>
      <c r="D128" s="21" t="inlineStr">
        <is>
          <t>18 s</t>
        </is>
      </c>
    </row>
    <row r="129">
      <c r="A129" s="23" t="n">
        <v>6</v>
      </c>
      <c r="B129" s="23" t="inlineStr">
        <is>
          <t>2 min</t>
        </is>
      </c>
      <c r="C129" s="23" t="inlineStr">
        <is>
          <t>1 min</t>
        </is>
      </c>
      <c r="D129" s="23" t="inlineStr">
        <is>
          <t>30 s</t>
        </is>
      </c>
    </row>
    <row r="130">
      <c r="A130" s="21" t="n">
        <v>7</v>
      </c>
      <c r="B130" s="21" t="inlineStr">
        <is>
          <t>3 min</t>
        </is>
      </c>
      <c r="C130" s="21" t="inlineStr">
        <is>
          <t>2 min</t>
        </is>
      </c>
      <c r="D130" s="21" t="inlineStr">
        <is>
          <t>1 min</t>
        </is>
      </c>
    </row>
    <row r="131">
      <c r="A131" s="23" t="n">
        <v>8</v>
      </c>
      <c r="B131" s="23" t="inlineStr">
        <is>
          <t>5 min</t>
        </is>
      </c>
      <c r="C131" s="23" t="inlineStr">
        <is>
          <t>3 min</t>
        </is>
      </c>
      <c r="D131" s="23" t="inlineStr">
        <is>
          <t>2 min</t>
        </is>
      </c>
    </row>
    <row r="132">
      <c r="A132" s="21" t="n">
        <v>9</v>
      </c>
      <c r="B132" s="21" t="inlineStr">
        <is>
          <t>10 min</t>
        </is>
      </c>
      <c r="C132" s="21" t="inlineStr">
        <is>
          <t>5 min</t>
        </is>
      </c>
      <c r="D132" s="21" t="inlineStr">
        <is>
          <t>3 min</t>
        </is>
      </c>
    </row>
    <row r="133">
      <c r="A133" s="23" t="n">
        <v>10</v>
      </c>
      <c r="B133" s="23" t="inlineStr">
        <is>
          <t>20 min</t>
        </is>
      </c>
      <c r="C133" s="23" t="inlineStr">
        <is>
          <t>10 min</t>
        </is>
      </c>
      <c r="D133" s="23" t="inlineStr">
        <is>
          <t>5 min</t>
        </is>
      </c>
    </row>
    <row r="134">
      <c r="A134" s="21" t="n">
        <v>11</v>
      </c>
      <c r="B134" s="21" t="inlineStr">
        <is>
          <t>30 min</t>
        </is>
      </c>
      <c r="C134" s="21" t="inlineStr">
        <is>
          <t>20 min</t>
        </is>
      </c>
      <c r="D134" s="21" t="inlineStr">
        <is>
          <t>10 min</t>
        </is>
      </c>
    </row>
    <row r="135">
      <c r="A135" s="23" t="n">
        <v>12</v>
      </c>
      <c r="B135" s="23" t="inlineStr">
        <is>
          <t>1 h</t>
        </is>
      </c>
      <c r="C135" s="23" t="inlineStr">
        <is>
          <t>30 min</t>
        </is>
      </c>
      <c r="D135" s="23" t="inlineStr">
        <is>
          <t>20 min</t>
        </is>
      </c>
    </row>
    <row r="136">
      <c r="A136" s="21" t="n">
        <v>13</v>
      </c>
      <c r="B136" s="21" t="inlineStr">
        <is>
          <t>2 h</t>
        </is>
      </c>
      <c r="C136" s="21" t="inlineStr">
        <is>
          <t>1 h</t>
        </is>
      </c>
      <c r="D136" s="21" t="inlineStr">
        <is>
          <t>30 min</t>
        </is>
      </c>
    </row>
    <row r="137">
      <c r="A137" s="23" t="n">
        <v>14</v>
      </c>
      <c r="B137" s="23" t="inlineStr">
        <is>
          <t>3 h</t>
        </is>
      </c>
      <c r="C137" s="23" t="inlineStr">
        <is>
          <t>2 h</t>
        </is>
      </c>
      <c r="D137" s="23" t="inlineStr">
        <is>
          <t>1 h</t>
        </is>
      </c>
    </row>
    <row r="138">
      <c r="A138" s="21" t="n">
        <v>15</v>
      </c>
      <c r="B138" s="21" t="inlineStr">
        <is>
          <t>5 h</t>
        </is>
      </c>
      <c r="C138" s="21" t="inlineStr">
        <is>
          <t>3 h</t>
        </is>
      </c>
      <c r="D138" s="21" t="inlineStr">
        <is>
          <t>2 h</t>
        </is>
      </c>
    </row>
    <row r="139">
      <c r="A139" s="23" t="n">
        <v>16</v>
      </c>
      <c r="B139" s="23" t="inlineStr">
        <is>
          <t>10 h</t>
        </is>
      </c>
      <c r="C139" s="23" t="inlineStr">
        <is>
          <t>5 h</t>
        </is>
      </c>
      <c r="D139" s="23" t="inlineStr">
        <is>
          <t>3 h</t>
        </is>
      </c>
    </row>
    <row r="140">
      <c r="A140" s="21" t="n">
        <v>17</v>
      </c>
      <c r="B140" s="21" t="inlineStr">
        <is>
          <t>1 jour</t>
        </is>
      </c>
      <c r="C140" s="21" t="inlineStr">
        <is>
          <t>10 h</t>
        </is>
      </c>
      <c r="D140" s="21" t="inlineStr">
        <is>
          <t>5 h</t>
        </is>
      </c>
    </row>
    <row r="141">
      <c r="A141" s="23" t="n">
        <v>18</v>
      </c>
      <c r="B141" s="23" t="inlineStr">
        <is>
          <t>2 jours</t>
        </is>
      </c>
      <c r="C141" s="23" t="inlineStr">
        <is>
          <t>1 jour</t>
        </is>
      </c>
      <c r="D141" s="23" t="inlineStr">
        <is>
          <t>10 h</t>
        </is>
      </c>
    </row>
    <row r="142">
      <c r="A142" s="21" t="n">
        <v>19</v>
      </c>
      <c r="B142" s="21" t="inlineStr">
        <is>
          <t>3 jours</t>
        </is>
      </c>
      <c r="C142" s="21" t="inlineStr">
        <is>
          <t>2 jours</t>
        </is>
      </c>
      <c r="D142" s="21" t="inlineStr">
        <is>
          <t>1 jour</t>
        </is>
      </c>
    </row>
    <row r="143">
      <c r="A143" s="23" t="n">
        <v>20</v>
      </c>
      <c r="B143" s="23" t="inlineStr">
        <is>
          <t>5 jours</t>
        </is>
      </c>
      <c r="C143" s="23" t="inlineStr">
        <is>
          <t>3 jours</t>
        </is>
      </c>
      <c r="D143" s="23" t="inlineStr">
        <is>
          <t>2 jours</t>
        </is>
      </c>
    </row>
    <row r="144">
      <c r="A144" s="21" t="n">
        <v>21</v>
      </c>
      <c r="B144" s="21" t="inlineStr">
        <is>
          <t>10 jours</t>
        </is>
      </c>
      <c r="C144" s="21" t="inlineStr">
        <is>
          <t>5 jours</t>
        </is>
      </c>
      <c r="D144" s="21" t="inlineStr">
        <is>
          <t>3 jours</t>
        </is>
      </c>
    </row>
    <row r="145">
      <c r="A145" s="23" t="n">
        <v>22</v>
      </c>
      <c r="B145" s="23" t="inlineStr">
        <is>
          <t>20 jours</t>
        </is>
      </c>
      <c r="C145" s="23" t="inlineStr">
        <is>
          <t>10 jours</t>
        </is>
      </c>
      <c r="D145" s="23" t="inlineStr">
        <is>
          <t>5 jours</t>
        </is>
      </c>
    </row>
    <row r="146">
      <c r="A146" s="21" t="n">
        <v>23</v>
      </c>
      <c r="B146" s="21" t="inlineStr">
        <is>
          <t>1 mois</t>
        </is>
      </c>
      <c r="C146" s="21" t="inlineStr">
        <is>
          <t>20 jours</t>
        </is>
      </c>
      <c r="D146" s="21" t="inlineStr">
        <is>
          <t>10 jours</t>
        </is>
      </c>
    </row>
    <row r="147">
      <c r="A147" s="23" t="n">
        <v>24</v>
      </c>
      <c r="B147" s="23" t="inlineStr">
        <is>
          <t>2 mois</t>
        </is>
      </c>
      <c r="C147" s="23" t="inlineStr">
        <is>
          <t>1 mois</t>
        </is>
      </c>
      <c r="D147" s="23" t="inlineStr">
        <is>
          <t>20 jours</t>
        </is>
      </c>
    </row>
    <row r="148">
      <c r="A148" s="21" t="n">
        <v>25</v>
      </c>
      <c r="B148" s="21" t="inlineStr">
        <is>
          <t>3 mois</t>
        </is>
      </c>
      <c r="C148" s="21" t="inlineStr">
        <is>
          <t>2 mois</t>
        </is>
      </c>
      <c r="D148" s="21" t="inlineStr">
        <is>
          <t>1 mois</t>
        </is>
      </c>
    </row>
    <row r="149">
      <c r="A149" s="23" t="n">
        <v>26</v>
      </c>
      <c r="B149" s="23" t="inlineStr">
        <is>
          <t>5 mois</t>
        </is>
      </c>
      <c r="C149" s="23" t="inlineStr">
        <is>
          <t>3 mois</t>
        </is>
      </c>
      <c r="D149" s="23" t="inlineStr">
        <is>
          <t>2 mois</t>
        </is>
      </c>
    </row>
    <row r="150">
      <c r="A150" s="21" t="n">
        <v>27</v>
      </c>
      <c r="B150" s="21" t="inlineStr">
        <is>
          <t>10 mois</t>
        </is>
      </c>
      <c r="C150" s="21" t="inlineStr">
        <is>
          <t>5 mois</t>
        </is>
      </c>
      <c r="D150" s="21" t="inlineStr">
        <is>
          <t>3 mois</t>
        </is>
      </c>
    </row>
    <row r="151">
      <c r="A151" s="23" t="n">
        <v>28</v>
      </c>
      <c r="B151" s="23" t="inlineStr">
        <is>
          <t>illimitée</t>
        </is>
      </c>
      <c r="C151" s="23" t="inlineStr">
        <is>
          <t>10 mois</t>
        </is>
      </c>
      <c r="D151" s="23" t="inlineStr">
        <is>
          <t>5 mois</t>
        </is>
      </c>
    </row>
    <row r="152">
      <c r="A152" s="21" t="n">
        <v>29</v>
      </c>
      <c r="B152" s="21" t="inlineStr">
        <is>
          <t>illimitée</t>
        </is>
      </c>
      <c r="C152" s="21" t="inlineStr">
        <is>
          <t>illimitée</t>
        </is>
      </c>
      <c r="D152" s="21" t="inlineStr">
        <is>
          <t>10 mois</t>
        </is>
      </c>
    </row>
    <row r="153">
      <c r="A153" s="23" t="n">
        <v>30</v>
      </c>
      <c r="B153" s="23" t="inlineStr">
        <is>
          <t>illimitée</t>
        </is>
      </c>
      <c r="C153" s="23" t="inlineStr">
        <is>
          <t>illimitée</t>
        </is>
      </c>
      <c r="D153" s="23" t="inlineStr">
        <is>
          <t>illimitée</t>
        </is>
      </c>
    </row>
    <row r="155" ht="20" customHeight="1">
      <c r="A155" s="5" t="inlineStr">
        <is>
          <t>Affinités par archétype (%)  —  G = Spé sans Spécialiste, H = Spé avec</t>
        </is>
      </c>
      <c r="B155" s="9" t="n"/>
      <c r="C155" s="9" t="n"/>
      <c r="D155" s="9" t="n"/>
      <c r="E155" s="9" t="n"/>
      <c r="F155" s="9" t="n"/>
      <c r="G155" s="9" t="n"/>
      <c r="H155" s="10" t="n"/>
    </row>
    <row r="156">
      <c r="A156" s="14" t="inlineStr">
        <is>
          <t>Archétype</t>
        </is>
      </c>
      <c r="B156" s="14" t="inlineStr">
        <is>
          <t>Renforcement</t>
        </is>
      </c>
      <c r="C156" s="14" t="inlineStr">
        <is>
          <t>Émission</t>
        </is>
      </c>
      <c r="D156" s="14" t="inlineStr">
        <is>
          <t>Transmutation</t>
        </is>
      </c>
      <c r="E156" s="14" t="inlineStr">
        <is>
          <t>Manipulation</t>
        </is>
      </c>
      <c r="F156" s="14" t="inlineStr">
        <is>
          <t>Conjuration</t>
        </is>
      </c>
      <c r="G156" s="14" t="inlineStr">
        <is>
          <t>Spé (sans)</t>
        </is>
      </c>
      <c r="H156" s="14" t="inlineStr">
        <is>
          <t>Spé (avec)</t>
        </is>
      </c>
    </row>
    <row r="157">
      <c r="A157" s="22" t="inlineStr">
        <is>
          <t>Renforceur</t>
        </is>
      </c>
      <c r="B157" s="23" t="n">
        <v>100</v>
      </c>
      <c r="C157" s="23" t="n">
        <v>80</v>
      </c>
      <c r="D157" s="23" t="n">
        <v>80</v>
      </c>
      <c r="E157" s="23" t="n">
        <v>60</v>
      </c>
      <c r="F157" s="23" t="n">
        <v>60</v>
      </c>
      <c r="G157" s="23" t="n">
        <v>0</v>
      </c>
      <c r="H157" s="23" t="n">
        <v>40</v>
      </c>
    </row>
    <row r="158">
      <c r="A158" s="20" t="inlineStr">
        <is>
          <t>Émitteur</t>
        </is>
      </c>
      <c r="B158" s="21" t="n">
        <v>80</v>
      </c>
      <c r="C158" s="21" t="n">
        <v>100</v>
      </c>
      <c r="D158" s="21" t="n">
        <v>60</v>
      </c>
      <c r="E158" s="21" t="n">
        <v>80</v>
      </c>
      <c r="F158" s="21" t="n">
        <v>40</v>
      </c>
      <c r="G158" s="21" t="n">
        <v>0</v>
      </c>
      <c r="H158" s="21" t="n">
        <v>60</v>
      </c>
    </row>
    <row r="159">
      <c r="A159" s="22" t="inlineStr">
        <is>
          <t>Transmuteur</t>
        </is>
      </c>
      <c r="B159" s="23" t="n">
        <v>80</v>
      </c>
      <c r="C159" s="23" t="n">
        <v>60</v>
      </c>
      <c r="D159" s="23" t="n">
        <v>100</v>
      </c>
      <c r="E159" s="23" t="n">
        <v>40</v>
      </c>
      <c r="F159" s="23" t="n">
        <v>80</v>
      </c>
      <c r="G159" s="23" t="n">
        <v>0</v>
      </c>
      <c r="H159" s="23" t="n">
        <v>60</v>
      </c>
    </row>
    <row r="160">
      <c r="A160" s="20" t="inlineStr">
        <is>
          <t>Manipulateur</t>
        </is>
      </c>
      <c r="B160" s="21" t="n">
        <v>60</v>
      </c>
      <c r="C160" s="21" t="n">
        <v>80</v>
      </c>
      <c r="D160" s="21" t="n">
        <v>40</v>
      </c>
      <c r="E160" s="21" t="n">
        <v>100</v>
      </c>
      <c r="F160" s="21" t="n">
        <v>60</v>
      </c>
      <c r="G160" s="21" t="n">
        <v>0</v>
      </c>
      <c r="H160" s="21" t="n">
        <v>80</v>
      </c>
    </row>
    <row r="161">
      <c r="A161" s="22" t="inlineStr">
        <is>
          <t>Conjurateur</t>
        </is>
      </c>
      <c r="B161" s="23" t="n">
        <v>60</v>
      </c>
      <c r="C161" s="23" t="n">
        <v>40</v>
      </c>
      <c r="D161" s="23" t="n">
        <v>80</v>
      </c>
      <c r="E161" s="23" t="n">
        <v>60</v>
      </c>
      <c r="F161" s="23" t="n">
        <v>100</v>
      </c>
      <c r="G161" s="23" t="n">
        <v>0</v>
      </c>
      <c r="H161" s="23" t="n">
        <v>80</v>
      </c>
    </row>
    <row r="162">
      <c r="A162" s="20" t="inlineStr">
        <is>
          <t>Spécialiste</t>
        </is>
      </c>
      <c r="B162" s="21" t="n">
        <v>40</v>
      </c>
      <c r="C162" s="21" t="n">
        <v>60</v>
      </c>
      <c r="D162" s="21" t="n">
        <v>60</v>
      </c>
      <c r="E162" s="21" t="n">
        <v>80</v>
      </c>
      <c r="F162" s="21" t="n">
        <v>80</v>
      </c>
      <c r="G162" s="21" t="n">
        <v>0</v>
      </c>
      <c r="H162" s="21" t="n">
        <v>100</v>
      </c>
    </row>
    <row r="163">
      <c r="A163" s="22" t="inlineStr">
        <is>
          <t>Renforceur-Émitteur</t>
        </is>
      </c>
      <c r="B163" s="23" t="n">
        <v>90</v>
      </c>
      <c r="C163" s="23" t="n">
        <v>90</v>
      </c>
      <c r="D163" s="23" t="n">
        <v>70</v>
      </c>
      <c r="E163" s="23" t="n">
        <v>70</v>
      </c>
      <c r="F163" s="23" t="n">
        <v>50</v>
      </c>
      <c r="G163" s="23" t="n">
        <v>0</v>
      </c>
      <c r="H163" s="23" t="n">
        <v>50</v>
      </c>
    </row>
    <row r="164">
      <c r="A164" s="20" t="inlineStr">
        <is>
          <t>Renforceur-Transmuteur</t>
        </is>
      </c>
      <c r="B164" s="21" t="n">
        <v>90</v>
      </c>
      <c r="C164" s="21" t="n">
        <v>70</v>
      </c>
      <c r="D164" s="21" t="n">
        <v>90</v>
      </c>
      <c r="E164" s="21" t="n">
        <v>50</v>
      </c>
      <c r="F164" s="21" t="n">
        <v>70</v>
      </c>
      <c r="G164" s="21" t="n">
        <v>0</v>
      </c>
      <c r="H164" s="21" t="n">
        <v>50</v>
      </c>
    </row>
    <row r="165">
      <c r="A165" s="22" t="inlineStr">
        <is>
          <t>Émitteur-Manipulateur</t>
        </is>
      </c>
      <c r="B165" s="23" t="n">
        <v>70</v>
      </c>
      <c r="C165" s="23" t="n">
        <v>90</v>
      </c>
      <c r="D165" s="23" t="n">
        <v>50</v>
      </c>
      <c r="E165" s="23" t="n">
        <v>90</v>
      </c>
      <c r="F165" s="23" t="n">
        <v>50</v>
      </c>
      <c r="G165" s="23" t="n">
        <v>0</v>
      </c>
      <c r="H165" s="23" t="n">
        <v>70</v>
      </c>
    </row>
    <row r="166">
      <c r="A166" s="20" t="inlineStr">
        <is>
          <t>Transmuteur-Conjurateur</t>
        </is>
      </c>
      <c r="B166" s="21" t="n">
        <v>70</v>
      </c>
      <c r="C166" s="21" t="n">
        <v>50</v>
      </c>
      <c r="D166" s="21" t="n">
        <v>90</v>
      </c>
      <c r="E166" s="21" t="n">
        <v>50</v>
      </c>
      <c r="F166" s="21" t="n">
        <v>90</v>
      </c>
      <c r="G166" s="21" t="n">
        <v>0</v>
      </c>
      <c r="H166" s="21" t="n">
        <v>70</v>
      </c>
    </row>
    <row r="167">
      <c r="A167" s="22" t="inlineStr">
        <is>
          <t>Manipulateur-Spécialiste</t>
        </is>
      </c>
      <c r="B167" s="23" t="n">
        <v>50</v>
      </c>
      <c r="C167" s="23" t="n">
        <v>70</v>
      </c>
      <c r="D167" s="23" t="n">
        <v>50</v>
      </c>
      <c r="E167" s="23" t="n">
        <v>90</v>
      </c>
      <c r="F167" s="23" t="n">
        <v>70</v>
      </c>
      <c r="G167" s="23" t="n">
        <v>0</v>
      </c>
      <c r="H167" s="23" t="n">
        <v>90</v>
      </c>
    </row>
    <row r="168">
      <c r="A168" s="20" t="inlineStr">
        <is>
          <t>Conjurateur-Spécialiste</t>
        </is>
      </c>
      <c r="B168" s="21" t="n">
        <v>50</v>
      </c>
      <c r="C168" s="21" t="n">
        <v>50</v>
      </c>
      <c r="D168" s="21" t="n">
        <v>70</v>
      </c>
      <c r="E168" s="21" t="n">
        <v>70</v>
      </c>
      <c r="F168" s="21" t="n">
        <v>90</v>
      </c>
      <c r="G168" s="21" t="n">
        <v>0</v>
      </c>
      <c r="H168" s="21" t="n">
        <v>90</v>
      </c>
    </row>
    <row r="170" ht="20" customHeight="1">
      <c r="A170" s="5" t="inlineStr">
        <is>
          <t>Coûts DI des techniques (cumulés par palier)</t>
        </is>
      </c>
      <c r="B170" s="9" t="n"/>
      <c r="C170" s="9" t="n"/>
      <c r="D170" s="9" t="n"/>
      <c r="E170" s="9" t="n"/>
      <c r="F170" s="10" t="n"/>
    </row>
    <row r="171">
      <c r="A171" s="14" t="inlineStr">
        <is>
          <t>Technique</t>
        </is>
      </c>
      <c r="B171" s="14" t="inlineStr">
        <is>
          <t>Aucun</t>
        </is>
      </c>
      <c r="C171" s="14" t="inlineStr">
        <is>
          <t>Basique</t>
        </is>
      </c>
      <c r="D171" s="14" t="inlineStr">
        <is>
          <t>Avancé</t>
        </is>
      </c>
      <c r="E171" s="14" t="inlineStr">
        <is>
          <t>Expert</t>
        </is>
      </c>
      <c r="F171" s="14" t="inlineStr">
        <is>
          <t>Maître</t>
        </is>
      </c>
    </row>
    <row r="172">
      <c r="A172" s="22" t="inlineStr">
        <is>
          <t>Ten</t>
        </is>
      </c>
      <c r="B172" s="23" t="n">
        <v>0</v>
      </c>
      <c r="C172" s="23" t="n">
        <v>20</v>
      </c>
      <c r="D172" s="23" t="n">
        <v>30</v>
      </c>
      <c r="E172" s="23" t="n">
        <v>50</v>
      </c>
      <c r="F172" s="23" t="n">
        <v>80</v>
      </c>
    </row>
    <row r="173">
      <c r="A173" s="20" t="inlineStr">
        <is>
          <t>Zetsu</t>
        </is>
      </c>
      <c r="B173" s="21" t="n">
        <v>0</v>
      </c>
      <c r="C173" s="21" t="n">
        <v>10</v>
      </c>
      <c r="D173" s="21" t="n">
        <v>20</v>
      </c>
      <c r="E173" s="21" t="n">
        <v>40</v>
      </c>
      <c r="F173" s="21" t="n">
        <v>70</v>
      </c>
    </row>
    <row r="174">
      <c r="A174" s="22" t="inlineStr">
        <is>
          <t>Ren</t>
        </is>
      </c>
      <c r="B174" s="23" t="n">
        <v>0</v>
      </c>
      <c r="C174" s="23" t="n">
        <v>20</v>
      </c>
      <c r="D174" s="23" t="n">
        <v>30</v>
      </c>
      <c r="E174" s="23" t="n">
        <v>50</v>
      </c>
      <c r="F174" s="23" t="n">
        <v>80</v>
      </c>
    </row>
    <row r="175">
      <c r="A175" s="20" t="inlineStr">
        <is>
          <t>Ken</t>
        </is>
      </c>
      <c r="B175" s="21" t="n">
        <v>0</v>
      </c>
      <c r="C175" s="21" t="n">
        <v>20</v>
      </c>
      <c r="D175" s="21" t="n">
        <v>30</v>
      </c>
      <c r="E175" s="21" t="n">
        <v>50</v>
      </c>
      <c r="F175" s="21" t="n">
        <v>80</v>
      </c>
    </row>
    <row r="176">
      <c r="A176" s="22" t="inlineStr">
        <is>
          <t>En</t>
        </is>
      </c>
      <c r="B176" s="23" t="n">
        <v>0</v>
      </c>
      <c r="C176" s="23" t="n">
        <v>20</v>
      </c>
      <c r="D176" s="23" t="n">
        <v>30</v>
      </c>
      <c r="E176" s="23" t="n">
        <v>50</v>
      </c>
      <c r="F176" s="23" t="n">
        <v>80</v>
      </c>
    </row>
    <row r="177">
      <c r="A177" s="20" t="inlineStr">
        <is>
          <t>Ko</t>
        </is>
      </c>
      <c r="B177" s="21" t="n">
        <v>0</v>
      </c>
      <c r="C177" s="21" t="n">
        <v>40</v>
      </c>
      <c r="D177" s="21" t="n">
        <v>50</v>
      </c>
      <c r="E177" s="21" t="n">
        <v>70</v>
      </c>
      <c r="F177" s="21" t="n">
        <v>100</v>
      </c>
    </row>
    <row r="178">
      <c r="A178" s="22" t="inlineStr">
        <is>
          <t>Ryu</t>
        </is>
      </c>
      <c r="B178" s="23" t="n">
        <v>0</v>
      </c>
      <c r="C178" s="23" t="n">
        <v>40</v>
      </c>
      <c r="D178" s="23" t="n">
        <v>50</v>
      </c>
      <c r="E178" s="23" t="n">
        <v>70</v>
      </c>
      <c r="F178" s="23" t="n">
        <v>100</v>
      </c>
    </row>
    <row r="180" ht="20" customHeight="1">
      <c r="A180" s="5" t="inlineStr">
        <is>
          <t>Base d'UAR par palier (état à manteau actif)</t>
        </is>
      </c>
      <c r="B180" s="10" t="n"/>
    </row>
    <row r="181">
      <c r="A181" s="14" t="inlineStr">
        <is>
          <t>Palier</t>
        </is>
      </c>
      <c r="B181" s="14" t="inlineStr">
        <is>
          <t>Base UAR</t>
        </is>
      </c>
    </row>
    <row r="182">
      <c r="A182" s="22" t="inlineStr">
        <is>
          <t>Aucun</t>
        </is>
      </c>
      <c r="B182" s="23" t="n">
        <v>5</v>
      </c>
    </row>
    <row r="183">
      <c r="A183" s="20" t="inlineStr">
        <is>
          <t>Basique</t>
        </is>
      </c>
      <c r="B183" s="21" t="n">
        <v>10</v>
      </c>
    </row>
    <row r="184">
      <c r="A184" s="22" t="inlineStr">
        <is>
          <t>Avancé</t>
        </is>
      </c>
      <c r="B184" s="23" t="n">
        <v>15</v>
      </c>
    </row>
    <row r="185">
      <c r="A185" s="20" t="inlineStr">
        <is>
          <t>Expert</t>
        </is>
      </c>
      <c r="B185" s="21" t="n">
        <v>20</v>
      </c>
    </row>
    <row r="186">
      <c r="A186" s="22" t="inlineStr">
        <is>
          <t>Maître</t>
        </is>
      </c>
      <c r="B186" s="23" t="n">
        <v>25</v>
      </c>
    </row>
    <row r="188" ht="20" customHeight="1">
      <c r="A188" s="5" t="inlineStr">
        <is>
          <t>Échelle de difficulté (palier → seuil)</t>
        </is>
      </c>
      <c r="B188" s="10" t="n"/>
    </row>
    <row r="189">
      <c r="A189" s="14" t="inlineStr">
        <is>
          <t>Palier</t>
        </is>
      </c>
      <c r="B189" s="14" t="inlineStr">
        <is>
          <t>Seuil</t>
        </is>
      </c>
    </row>
    <row r="190">
      <c r="A190" s="22" t="inlineStr">
        <is>
          <t>Triviale</t>
        </is>
      </c>
      <c r="B190" s="23" t="n">
        <v>0</v>
      </c>
    </row>
    <row r="191">
      <c r="A191" s="20" t="inlineStr">
        <is>
          <t>Très facile</t>
        </is>
      </c>
      <c r="B191" s="21" t="n">
        <v>20</v>
      </c>
    </row>
    <row r="192">
      <c r="A192" s="22" t="inlineStr">
        <is>
          <t>Facile</t>
        </is>
      </c>
      <c r="B192" s="23" t="n">
        <v>40</v>
      </c>
    </row>
    <row r="193">
      <c r="A193" s="20" t="inlineStr">
        <is>
          <t>Moyenne</t>
        </is>
      </c>
      <c r="B193" s="21" t="n">
        <v>80</v>
      </c>
    </row>
    <row r="194">
      <c r="A194" s="22" t="inlineStr">
        <is>
          <t>Difficile</t>
        </is>
      </c>
      <c r="B194" s="23" t="n">
        <v>120</v>
      </c>
    </row>
    <row r="195">
      <c r="A195" s="20" t="inlineStr">
        <is>
          <t>Très difficile</t>
        </is>
      </c>
      <c r="B195" s="21" t="n">
        <v>180</v>
      </c>
    </row>
    <row r="196">
      <c r="A196" s="22" t="inlineStr">
        <is>
          <t>Absurde</t>
        </is>
      </c>
      <c r="B196" s="23" t="n">
        <v>240</v>
      </c>
    </row>
    <row r="197">
      <c r="A197" s="20" t="inlineStr">
        <is>
          <t>Quasi impossible</t>
        </is>
      </c>
      <c r="B197" s="21" t="n">
        <v>320</v>
      </c>
    </row>
    <row r="198">
      <c r="A198" s="22" t="inlineStr">
        <is>
          <t>Impossible</t>
        </is>
      </c>
      <c r="B198" s="23" t="n">
        <v>400</v>
      </c>
    </row>
    <row r="199">
      <c r="A199" s="20" t="inlineStr">
        <is>
          <t>Surhumaine</t>
        </is>
      </c>
      <c r="B199" s="21" t="n">
        <v>520</v>
      </c>
    </row>
    <row r="200">
      <c r="A200" s="22" t="inlineStr">
        <is>
          <t>Prodigieuse</t>
        </is>
      </c>
      <c r="B200" s="23" t="n">
        <v>640</v>
      </c>
    </row>
    <row r="201">
      <c r="A201" s="20" t="inlineStr">
        <is>
          <t>Insurmontable</t>
        </is>
      </c>
      <c r="B201" s="21" t="n">
        <v>780</v>
      </c>
    </row>
    <row r="202">
      <c r="A202" s="22" t="inlineStr">
        <is>
          <t>Inimaginable</t>
        </is>
      </c>
      <c r="B202" s="23" t="n">
        <v>920</v>
      </c>
    </row>
    <row r="204" ht="20" customHeight="1">
      <c r="A204" s="5" t="inlineStr">
        <is>
          <t>Types de dégâts (7)</t>
        </is>
      </c>
      <c r="B204" s="9" t="n"/>
      <c r="C204" s="9" t="n"/>
      <c r="D204" s="10" t="n"/>
    </row>
    <row r="205">
      <c r="A205" s="14" t="inlineStr">
        <is>
          <t>Sigle</t>
        </is>
      </c>
      <c r="B205" s="14" t="inlineStr">
        <is>
          <t>Nom</t>
        </is>
      </c>
      <c r="C205" s="14" t="inlineStr">
        <is>
          <t>Famille</t>
        </is>
      </c>
      <c r="D205" s="14" t="inlineStr">
        <is>
          <t>Exemples</t>
        </is>
      </c>
    </row>
    <row r="206">
      <c r="A206" s="23" t="inlineStr">
        <is>
          <t>CON</t>
        </is>
      </c>
      <c r="B206" s="22" t="inlineStr">
        <is>
          <t>Contondant</t>
        </is>
      </c>
      <c r="C206" s="22" t="inlineStr">
        <is>
          <t>Physique</t>
        </is>
      </c>
      <c r="D206" s="22" t="inlineStr">
        <is>
          <t>Masses, poings, chutes</t>
        </is>
      </c>
    </row>
    <row r="207">
      <c r="A207" s="21" t="inlineStr">
        <is>
          <t>TRA</t>
        </is>
      </c>
      <c r="B207" s="20" t="inlineStr">
        <is>
          <t>Tranchant</t>
        </is>
      </c>
      <c r="C207" s="20" t="inlineStr">
        <is>
          <t>Physique</t>
        </is>
      </c>
      <c r="D207" s="20" t="inlineStr">
        <is>
          <t>Lames, griffes, fil de Nen</t>
        </is>
      </c>
    </row>
    <row r="208">
      <c r="A208" s="23" t="inlineStr">
        <is>
          <t>PER</t>
        </is>
      </c>
      <c r="B208" s="22" t="inlineStr">
        <is>
          <t>Perforant</t>
        </is>
      </c>
      <c r="C208" s="22" t="inlineStr">
        <is>
          <t>Physique</t>
        </is>
      </c>
      <c r="D208" s="22" t="inlineStr">
        <is>
          <t>Pointes, flèches, balles</t>
        </is>
      </c>
    </row>
    <row r="209">
      <c r="A209" s="21" t="inlineStr">
        <is>
          <t>FEU</t>
        </is>
      </c>
      <c r="B209" s="20" t="inlineStr">
        <is>
          <t>Feu</t>
        </is>
      </c>
      <c r="C209" s="20" t="inlineStr">
        <is>
          <t>Élémentaire</t>
        </is>
      </c>
      <c r="D209" s="20" t="inlineStr">
        <is>
          <t>Feu, lave, vapeur</t>
        </is>
      </c>
    </row>
    <row r="210">
      <c r="A210" s="23" t="inlineStr">
        <is>
          <t>FRO</t>
        </is>
      </c>
      <c r="B210" s="22" t="inlineStr">
        <is>
          <t>Froid</t>
        </is>
      </c>
      <c r="C210" s="22" t="inlineStr">
        <is>
          <t>Élémentaire</t>
        </is>
      </c>
      <c r="D210" s="22" t="inlineStr">
        <is>
          <t>Glace, gel</t>
        </is>
      </c>
    </row>
    <row r="211">
      <c r="A211" s="21" t="inlineStr">
        <is>
          <t>ÉLE</t>
        </is>
      </c>
      <c r="B211" s="20" t="inlineStr">
        <is>
          <t>Électrique</t>
        </is>
      </c>
      <c r="C211" s="20" t="inlineStr">
        <is>
          <t>Élémentaire</t>
        </is>
      </c>
      <c r="D211" s="20" t="inlineStr">
        <is>
          <t>Foudre, décharges, lumière</t>
        </is>
      </c>
    </row>
    <row r="212">
      <c r="A212" s="23" t="inlineStr">
        <is>
          <t>DÉC</t>
        </is>
      </c>
      <c r="B212" s="22" t="inlineStr">
        <is>
          <t>Décomposition</t>
        </is>
      </c>
      <c r="C212" s="22" t="inlineStr">
        <is>
          <t>Élémentaire</t>
        </is>
      </c>
      <c r="D212" s="22" t="inlineStr">
        <is>
          <t>Corruption, acide, ténèbres</t>
        </is>
      </c>
    </row>
    <row r="214" ht="20" customHeight="1">
      <c r="A214" s="5" t="inlineStr">
        <is>
          <t>Rayon d'En (rayon → coût DI cumulé + aura/tour)</t>
        </is>
      </c>
      <c r="B214" s="9" t="n"/>
      <c r="C214" s="10" t="n"/>
    </row>
    <row r="215">
      <c r="A215" s="14" t="inlineStr">
        <is>
          <t>Rayon</t>
        </is>
      </c>
      <c r="B215" s="14" t="inlineStr">
        <is>
          <t>Coût DI cumulé</t>
        </is>
      </c>
      <c r="C215" s="14" t="inlineStr">
        <is>
          <t>Aura/tour</t>
        </is>
      </c>
    </row>
    <row r="216">
      <c r="A216" s="23" t="inlineStr">
        <is>
          <t>1 m</t>
        </is>
      </c>
      <c r="B216" s="23" t="n">
        <v>0</v>
      </c>
      <c r="C216" s="23" t="n">
        <v>5</v>
      </c>
    </row>
    <row r="217">
      <c r="A217" s="21" t="inlineStr">
        <is>
          <t>2 m</t>
        </is>
      </c>
      <c r="B217" s="21" t="n">
        <v>10</v>
      </c>
      <c r="C217" s="21" t="n">
        <v>5</v>
      </c>
    </row>
    <row r="218">
      <c r="A218" s="23" t="inlineStr">
        <is>
          <t>3 m</t>
        </is>
      </c>
      <c r="B218" s="23" t="n">
        <v>20</v>
      </c>
      <c r="C218" s="23" t="n">
        <v>5</v>
      </c>
    </row>
    <row r="219">
      <c r="A219" s="21" t="inlineStr">
        <is>
          <t>5 m</t>
        </is>
      </c>
      <c r="B219" s="21" t="n">
        <v>30</v>
      </c>
      <c r="C219" s="21" t="n">
        <v>10</v>
      </c>
    </row>
    <row r="220">
      <c r="A220" s="23" t="inlineStr">
        <is>
          <t>10 m</t>
        </is>
      </c>
      <c r="B220" s="23" t="n">
        <v>50</v>
      </c>
      <c r="C220" s="23" t="n">
        <v>15</v>
      </c>
    </row>
    <row r="221">
      <c r="A221" s="21" t="inlineStr">
        <is>
          <t>20 m</t>
        </is>
      </c>
      <c r="B221" s="21" t="n">
        <v>70</v>
      </c>
      <c r="C221" s="21" t="n">
        <v>20</v>
      </c>
    </row>
    <row r="222">
      <c r="A222" s="23" t="inlineStr">
        <is>
          <t>30 m</t>
        </is>
      </c>
      <c r="B222" s="23" t="n">
        <v>90</v>
      </c>
      <c r="C222" s="23" t="n">
        <v>30</v>
      </c>
    </row>
    <row r="223">
      <c r="A223" s="21" t="inlineStr">
        <is>
          <t>50 m</t>
        </is>
      </c>
      <c r="B223" s="21" t="n">
        <v>110</v>
      </c>
      <c r="C223" s="21" t="n">
        <v>40</v>
      </c>
    </row>
    <row r="224">
      <c r="A224" s="23" t="inlineStr">
        <is>
          <t>100 m</t>
        </is>
      </c>
      <c r="B224" s="23" t="n">
        <v>160</v>
      </c>
      <c r="C224" s="23" t="n">
        <v>60</v>
      </c>
    </row>
    <row r="225">
      <c r="A225" s="21" t="inlineStr">
        <is>
          <t>200 m</t>
        </is>
      </c>
      <c r="B225" s="21" t="n">
        <v>210</v>
      </c>
      <c r="C225" s="21" t="n">
        <v>80</v>
      </c>
    </row>
    <row r="226">
      <c r="A226" s="23" t="inlineStr">
        <is>
          <t>300 m</t>
        </is>
      </c>
      <c r="B226" s="23" t="n">
        <v>260</v>
      </c>
      <c r="C226" s="23" t="n">
        <v>100</v>
      </c>
    </row>
    <row r="227">
      <c r="A227" s="21" t="inlineStr">
        <is>
          <t>500 m</t>
        </is>
      </c>
      <c r="B227" s="21" t="n">
        <v>310</v>
      </c>
      <c r="C227" s="21" t="n">
        <v>150</v>
      </c>
    </row>
    <row r="228">
      <c r="A228" s="23" t="inlineStr">
        <is>
          <t>1 km</t>
        </is>
      </c>
      <c r="B228" s="23" t="n">
        <v>410</v>
      </c>
      <c r="C228" s="23" t="n">
        <v>200</v>
      </c>
    </row>
    <row r="229">
      <c r="A229" s="21" t="inlineStr">
        <is>
          <t>2 km</t>
        </is>
      </c>
      <c r="B229" s="21" t="n">
        <v>510</v>
      </c>
      <c r="C229" s="21" t="n">
        <v>300</v>
      </c>
    </row>
  </sheetData>
  <mergeCells count="13">
    <mergeCell ref="A170:F170"/>
    <mergeCell ref="A155:H155"/>
    <mergeCell ref="A180:B180"/>
    <mergeCell ref="A53:D53"/>
    <mergeCell ref="A37:B37"/>
    <mergeCell ref="A87:D87"/>
    <mergeCell ref="A214:C214"/>
    <mergeCell ref="A188:B188"/>
    <mergeCell ref="A1:H1"/>
    <mergeCell ref="A121:D121"/>
    <mergeCell ref="A204:D204"/>
    <mergeCell ref="A3:B3"/>
    <mergeCell ref="A46:D4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10"/>
  <sheetViews>
    <sheetView workbookViewId="0">
      <selection activeCell="A1" sqref="A1"/>
    </sheetView>
  </sheetViews>
  <sheetFormatPr baseColWidth="8" defaultRowHeight="15"/>
  <cols>
    <col width="2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1" ht="26" customHeight="1">
      <c r="A1" s="1" t="inlineStr">
        <is>
          <t>RÉFÉRENCE — aide-mémoire (consultatif)</t>
        </is>
      </c>
      <c r="B1" s="9" t="n"/>
      <c r="C1" s="9" t="n"/>
      <c r="D1" s="9" t="n"/>
      <c r="E1" s="9" t="n"/>
      <c r="F1" s="9" t="n"/>
      <c r="G1" s="9" t="n"/>
      <c r="H1" s="10" t="n"/>
    </row>
    <row r="3" ht="20" customHeight="1">
      <c r="A3" s="5" t="inlineStr">
        <is>
          <t>Échelle de difficulté</t>
        </is>
      </c>
      <c r="B3" s="10" t="n"/>
    </row>
    <row r="4">
      <c r="A4" s="14" t="inlineStr">
        <is>
          <t>Palier</t>
        </is>
      </c>
      <c r="B4" s="14" t="inlineStr">
        <is>
          <t>Seuil</t>
        </is>
      </c>
    </row>
    <row r="5">
      <c r="A5" s="22" t="inlineStr">
        <is>
          <t>Triviale</t>
        </is>
      </c>
      <c r="B5" s="23" t="n">
        <v>0</v>
      </c>
    </row>
    <row r="6">
      <c r="A6" s="20" t="inlineStr">
        <is>
          <t>Très facile</t>
        </is>
      </c>
      <c r="B6" s="21" t="n">
        <v>20</v>
      </c>
    </row>
    <row r="7">
      <c r="A7" s="22" t="inlineStr">
        <is>
          <t>Facile</t>
        </is>
      </c>
      <c r="B7" s="23" t="n">
        <v>40</v>
      </c>
    </row>
    <row r="8">
      <c r="A8" s="20" t="inlineStr">
        <is>
          <t>Moyenne</t>
        </is>
      </c>
      <c r="B8" s="21" t="n">
        <v>80</v>
      </c>
    </row>
    <row r="9">
      <c r="A9" s="22" t="inlineStr">
        <is>
          <t>Difficile</t>
        </is>
      </c>
      <c r="B9" s="23" t="n">
        <v>120</v>
      </c>
    </row>
    <row r="10">
      <c r="A10" s="20" t="inlineStr">
        <is>
          <t>Très difficile</t>
        </is>
      </c>
      <c r="B10" s="21" t="n">
        <v>180</v>
      </c>
    </row>
    <row r="11">
      <c r="A11" s="22" t="inlineStr">
        <is>
          <t>Absurde</t>
        </is>
      </c>
      <c r="B11" s="23" t="n">
        <v>240</v>
      </c>
    </row>
    <row r="12">
      <c r="A12" s="20" t="inlineStr">
        <is>
          <t>Quasi impossible</t>
        </is>
      </c>
      <c r="B12" s="21" t="n">
        <v>320</v>
      </c>
    </row>
    <row r="13">
      <c r="A13" s="22" t="inlineStr">
        <is>
          <t>Impossible</t>
        </is>
      </c>
      <c r="B13" s="23" t="n">
        <v>400</v>
      </c>
    </row>
    <row r="14">
      <c r="A14" s="20" t="inlineStr">
        <is>
          <t>Surhumaine</t>
        </is>
      </c>
      <c r="B14" s="21" t="n">
        <v>520</v>
      </c>
    </row>
    <row r="15">
      <c r="A15" s="22" t="inlineStr">
        <is>
          <t>Prodigieuse</t>
        </is>
      </c>
      <c r="B15" s="23" t="n">
        <v>640</v>
      </c>
    </row>
    <row r="16">
      <c r="A16" s="20" t="inlineStr">
        <is>
          <t>Insurmontable</t>
        </is>
      </c>
      <c r="B16" s="21" t="n">
        <v>780</v>
      </c>
    </row>
    <row r="17">
      <c r="A17" s="22" t="inlineStr">
        <is>
          <t>Inimaginable</t>
        </is>
      </c>
      <c r="B17" s="23" t="n">
        <v>920</v>
      </c>
    </row>
    <row r="19" ht="20" customHeight="1">
      <c r="A19" s="5" t="inlineStr">
        <is>
          <t>Types de dégâts (7)</t>
        </is>
      </c>
      <c r="B19" s="9" t="n"/>
      <c r="C19" s="9" t="n"/>
      <c r="D19" s="10" t="n"/>
    </row>
    <row r="20">
      <c r="A20" s="14" t="inlineStr">
        <is>
          <t>Sigle</t>
        </is>
      </c>
      <c r="B20" s="14" t="inlineStr">
        <is>
          <t>Nom</t>
        </is>
      </c>
      <c r="C20" s="14" t="inlineStr">
        <is>
          <t>Famille</t>
        </is>
      </c>
      <c r="D20" s="14" t="inlineStr">
        <is>
          <t>Exemples</t>
        </is>
      </c>
    </row>
    <row r="21">
      <c r="A21" s="22" t="inlineStr">
        <is>
          <t>CON</t>
        </is>
      </c>
      <c r="B21" s="23" t="inlineStr">
        <is>
          <t>Contondant</t>
        </is>
      </c>
      <c r="C21" s="23" t="inlineStr">
        <is>
          <t>Physique</t>
        </is>
      </c>
      <c r="D21" s="23" t="inlineStr">
        <is>
          <t>Masses, poings, chutes</t>
        </is>
      </c>
    </row>
    <row r="22">
      <c r="A22" s="20" t="inlineStr">
        <is>
          <t>TRA</t>
        </is>
      </c>
      <c r="B22" s="21" t="inlineStr">
        <is>
          <t>Tranchant</t>
        </is>
      </c>
      <c r="C22" s="21" t="inlineStr">
        <is>
          <t>Physique</t>
        </is>
      </c>
      <c r="D22" s="21" t="inlineStr">
        <is>
          <t>Lames, griffes, fil de Nen</t>
        </is>
      </c>
    </row>
    <row r="23">
      <c r="A23" s="22" t="inlineStr">
        <is>
          <t>PER</t>
        </is>
      </c>
      <c r="B23" s="23" t="inlineStr">
        <is>
          <t>Perforant</t>
        </is>
      </c>
      <c r="C23" s="23" t="inlineStr">
        <is>
          <t>Physique</t>
        </is>
      </c>
      <c r="D23" s="23" t="inlineStr">
        <is>
          <t>Pointes, flèches, balles</t>
        </is>
      </c>
    </row>
    <row r="24">
      <c r="A24" s="20" t="inlineStr">
        <is>
          <t>FEU</t>
        </is>
      </c>
      <c r="B24" s="21" t="inlineStr">
        <is>
          <t>Feu</t>
        </is>
      </c>
      <c r="C24" s="21" t="inlineStr">
        <is>
          <t>Élémentaire</t>
        </is>
      </c>
      <c r="D24" s="21" t="inlineStr">
        <is>
          <t>Feu, lave, vapeur</t>
        </is>
      </c>
    </row>
    <row r="25">
      <c r="A25" s="22" t="inlineStr">
        <is>
          <t>FRO</t>
        </is>
      </c>
      <c r="B25" s="23" t="inlineStr">
        <is>
          <t>Froid</t>
        </is>
      </c>
      <c r="C25" s="23" t="inlineStr">
        <is>
          <t>Élémentaire</t>
        </is>
      </c>
      <c r="D25" s="23" t="inlineStr">
        <is>
          <t>Glace, gel</t>
        </is>
      </c>
    </row>
    <row r="26">
      <c r="A26" s="20" t="inlineStr">
        <is>
          <t>ÉLE</t>
        </is>
      </c>
      <c r="B26" s="21" t="inlineStr">
        <is>
          <t>Électrique</t>
        </is>
      </c>
      <c r="C26" s="21" t="inlineStr">
        <is>
          <t>Élémentaire</t>
        </is>
      </c>
      <c r="D26" s="21" t="inlineStr">
        <is>
          <t>Foudre, décharges, lumière</t>
        </is>
      </c>
    </row>
    <row r="27">
      <c r="A27" s="22" t="inlineStr">
        <is>
          <t>DÉC</t>
        </is>
      </c>
      <c r="B27" s="23" t="inlineStr">
        <is>
          <t>Décomposition</t>
        </is>
      </c>
      <c r="C27" s="23" t="inlineStr">
        <is>
          <t>Élémentaire</t>
        </is>
      </c>
      <c r="D27" s="23" t="inlineStr">
        <is>
          <t>Corruption, acide, ténèbres</t>
        </is>
      </c>
    </row>
    <row r="29" ht="20" customHeight="1">
      <c r="A29" s="5" t="inlineStr">
        <is>
          <t>Marge (% de touche)</t>
        </is>
      </c>
      <c r="B29" s="10" t="n"/>
    </row>
    <row r="30">
      <c r="A30" s="14" t="inlineStr">
        <is>
          <t>Condition</t>
        </is>
      </c>
      <c r="B30" s="14" t="inlineStr">
        <is>
          <t>Effet</t>
        </is>
      </c>
    </row>
    <row r="31">
      <c r="A31" s="22" t="inlineStr">
        <is>
          <t>≥ 200</t>
        </is>
      </c>
      <c r="B31" s="23" t="inlineStr">
        <is>
          <t>200 % (×2, plafond)</t>
        </is>
      </c>
    </row>
    <row r="32">
      <c r="A32" s="20" t="inlineStr">
        <is>
          <t>10 à 199</t>
        </is>
      </c>
      <c r="B32" s="21" t="inlineStr">
        <is>
          <t>ce % de touche</t>
        </is>
      </c>
    </row>
    <row r="33">
      <c r="A33" s="22" t="inlineStr">
        <is>
          <t>0 à 9</t>
        </is>
      </c>
      <c r="B33" s="23" t="inlineStr">
        <is>
          <t>touche mais 0 dégât</t>
        </is>
      </c>
    </row>
    <row r="34">
      <c r="A34" s="20" t="inlineStr">
        <is>
          <t>&lt; 0</t>
        </is>
      </c>
      <c r="B34" s="21" t="inlineStr">
        <is>
          <t>raté</t>
        </is>
      </c>
    </row>
    <row r="36" ht="20" customHeight="1">
      <c r="A36" s="5" t="inlineStr">
        <is>
          <t>Postures de combat</t>
        </is>
      </c>
      <c r="B36" s="9" t="n"/>
      <c r="C36" s="10" t="n"/>
    </row>
    <row r="37">
      <c r="A37" s="14" t="inlineStr">
        <is>
          <t>Posture</t>
        </is>
      </c>
      <c r="B37" s="14" t="inlineStr">
        <is>
          <t>Attaque</t>
        </is>
      </c>
      <c r="C37" s="14" t="inlineStr">
        <is>
          <t>Défense</t>
        </is>
      </c>
    </row>
    <row r="38">
      <c r="A38" s="22" t="inlineStr">
        <is>
          <t>Défensive partielle</t>
        </is>
      </c>
      <c r="B38" s="23" t="inlineStr">
        <is>
          <t>−30</t>
        </is>
      </c>
      <c r="C38" s="23" t="inlineStr">
        <is>
          <t>+10</t>
        </is>
      </c>
    </row>
    <row r="39">
      <c r="A39" s="20" t="inlineStr">
        <is>
          <t>Défensive totale</t>
        </is>
      </c>
      <c r="B39" s="21" t="inlineStr">
        <is>
          <t>aucune att.</t>
        </is>
      </c>
      <c r="C39" s="21" t="inlineStr">
        <is>
          <t>+30</t>
        </is>
      </c>
    </row>
    <row r="40">
      <c r="A40" s="22" t="inlineStr">
        <is>
          <t>Offensive partielle</t>
        </is>
      </c>
      <c r="B40" s="23" t="inlineStr">
        <is>
          <t>+10</t>
        </is>
      </c>
      <c r="C40" s="23" t="inlineStr">
        <is>
          <t>−30</t>
        </is>
      </c>
    </row>
    <row r="41">
      <c r="A41" s="20" t="inlineStr">
        <is>
          <t>Offensive totale</t>
        </is>
      </c>
      <c r="B41" s="21" t="inlineStr">
        <is>
          <t>+30</t>
        </is>
      </c>
      <c r="C41" s="21" t="inlineStr">
        <is>
          <t>aucune déf.</t>
        </is>
      </c>
    </row>
    <row r="43" ht="20" customHeight="1">
      <c r="A43" s="5" t="inlineStr">
        <is>
          <t>Situations</t>
        </is>
      </c>
      <c r="B43" s="9" t="n"/>
      <c r="C43" s="9" t="n"/>
      <c r="D43" s="9" t="n"/>
      <c r="E43" s="9" t="n"/>
      <c r="F43" s="10" t="n"/>
    </row>
    <row r="44">
      <c r="A44" s="14" t="inlineStr">
        <is>
          <t>Situation</t>
        </is>
      </c>
      <c r="B44" s="14" t="inlineStr">
        <is>
          <t>Init</t>
        </is>
      </c>
      <c r="C44" s="14" t="inlineStr">
        <is>
          <t>Att</t>
        </is>
      </c>
      <c r="D44" s="14" t="inlineStr">
        <is>
          <t>Esq</t>
        </is>
      </c>
      <c r="E44" s="14" t="inlineStr">
        <is>
          <t>Par</t>
        </is>
      </c>
      <c r="F44" s="14" t="inlineStr">
        <is>
          <t>Phys</t>
        </is>
      </c>
    </row>
    <row r="45">
      <c r="A45" s="22" t="inlineStr">
        <is>
          <t>De dos</t>
        </is>
      </c>
      <c r="B45" s="23" t="inlineStr">
        <is>
          <t>–</t>
        </is>
      </c>
      <c r="C45" s="23" t="inlineStr">
        <is>
          <t>−30</t>
        </is>
      </c>
      <c r="D45" s="23" t="inlineStr">
        <is>
          <t>−80</t>
        </is>
      </c>
      <c r="E45" s="23" t="inlineStr">
        <is>
          <t>−80</t>
        </is>
      </c>
      <c r="F45" s="23" t="inlineStr">
        <is>
          <t>–</t>
        </is>
      </c>
    </row>
    <row r="46">
      <c r="A46" s="20" t="inlineStr">
        <is>
          <t>De flanc</t>
        </is>
      </c>
      <c r="B46" s="21" t="inlineStr">
        <is>
          <t>–</t>
        </is>
      </c>
      <c r="C46" s="21" t="inlineStr">
        <is>
          <t>−10</t>
        </is>
      </c>
      <c r="D46" s="21" t="inlineStr">
        <is>
          <t>−30</t>
        </is>
      </c>
      <c r="E46" s="21" t="inlineStr">
        <is>
          <t>−30</t>
        </is>
      </c>
      <c r="F46" s="21" t="inlineStr">
        <is>
          <t>–</t>
        </is>
      </c>
    </row>
    <row r="47">
      <c r="A47" s="22" t="inlineStr">
        <is>
          <t>En joue</t>
        </is>
      </c>
      <c r="B47" s="23" t="inlineStr">
        <is>
          <t>−50</t>
        </is>
      </c>
      <c r="C47" s="23" t="inlineStr">
        <is>
          <t>−20</t>
        </is>
      </c>
      <c r="D47" s="23" t="inlineStr">
        <is>
          <t>−120</t>
        </is>
      </c>
      <c r="E47" s="23" t="inlineStr">
        <is>
          <t>−120</t>
        </is>
      </c>
      <c r="F47" s="23" t="inlineStr">
        <is>
          <t>−100</t>
        </is>
      </c>
    </row>
    <row r="48">
      <c r="A48" s="20" t="inlineStr">
        <is>
          <t>Espace réduit</t>
        </is>
      </c>
      <c r="B48" s="21" t="inlineStr">
        <is>
          <t>–</t>
        </is>
      </c>
      <c r="C48" s="21" t="inlineStr">
        <is>
          <t>−40</t>
        </is>
      </c>
      <c r="D48" s="21" t="inlineStr">
        <is>
          <t>−40</t>
        </is>
      </c>
      <c r="E48" s="21" t="inlineStr">
        <is>
          <t>−40</t>
        </is>
      </c>
      <c r="F48" s="21" t="inlineStr">
        <is>
          <t>−20</t>
        </is>
      </c>
    </row>
    <row r="49">
      <c r="A49" s="22" t="inlineStr">
        <is>
          <t>Surpris</t>
        </is>
      </c>
      <c r="B49" s="23" t="inlineStr">
        <is>
          <t>−120</t>
        </is>
      </c>
      <c r="C49" s="23" t="inlineStr">
        <is>
          <t>–</t>
        </is>
      </c>
      <c r="D49" s="23" t="inlineStr">
        <is>
          <t>–</t>
        </is>
      </c>
      <c r="E49" s="23" t="inlineStr">
        <is>
          <t>–</t>
        </is>
      </c>
      <c r="F49" s="23" t="inlineStr">
        <is>
          <t>–</t>
        </is>
      </c>
    </row>
    <row r="50">
      <c r="A50" s="29" t="n"/>
      <c r="B50" s="30" t="n"/>
      <c r="C50" s="30" t="n"/>
      <c r="D50" s="30" t="n"/>
      <c r="E50" s="30" t="n"/>
      <c r="F50" s="30" t="n"/>
    </row>
    <row r="51">
      <c r="A51" s="29" t="n"/>
      <c r="B51" s="30" t="n"/>
      <c r="C51" s="30" t="n"/>
      <c r="D51" s="30" t="n"/>
      <c r="E51" s="30" t="n"/>
      <c r="F51" s="30" t="n"/>
    </row>
    <row r="53" ht="20" customHeight="1">
      <c r="A53" s="5" t="inlineStr">
        <is>
          <t>États / afflictions (malus)</t>
        </is>
      </c>
      <c r="B53" s="10" t="n"/>
    </row>
    <row r="54">
      <c r="A54" s="14" t="inlineStr">
        <is>
          <t>État</t>
        </is>
      </c>
      <c r="B54" s="14" t="inlineStr">
        <is>
          <t>Effet</t>
        </is>
      </c>
    </row>
    <row r="55">
      <c r="A55" s="22" t="inlineStr">
        <is>
          <t>Prise</t>
        </is>
      </c>
      <c r="B55" s="23" t="inlineStr">
        <is>
          <t>Agrippé / Maîtrisé / Soumis : saisi, mouvement 0 ; + Paralysie légère / partielle / totale</t>
        </is>
      </c>
    </row>
    <row r="56">
      <c r="A56" s="22" t="inlineStr">
        <is>
          <t>Immobilisé</t>
        </is>
      </c>
      <c r="B56" s="23" t="inlineStr">
        <is>
          <t>entravé, mouvement 0 ; + Paralysie selon le degré</t>
        </is>
      </c>
    </row>
    <row r="57">
      <c r="A57" s="22" t="inlineStr">
        <is>
          <t>Mutisme</t>
        </is>
      </c>
      <c r="B57" s="23" t="inlineStr">
        <is>
          <t>Léger : −80 compétences Vocales · Partiel : muet (sons ok) · Total : aucun son</t>
        </is>
      </c>
    </row>
    <row r="58">
      <c r="A58" s="22" t="inlineStr">
        <is>
          <t>Paralysie légère</t>
        </is>
      </c>
      <c r="B58" s="23" t="inlineStr">
        <is>
          <t>−20 att/par/init ; −40 esq/phys</t>
        </is>
      </c>
    </row>
    <row r="59">
      <c r="A59" s="22" t="inlineStr">
        <is>
          <t>Paralysie partielle</t>
        </is>
      </c>
      <c r="B59" s="23" t="inlineStr">
        <is>
          <t>−80 att/par/esq ; −30 init ; −60 phys</t>
        </is>
      </c>
    </row>
    <row r="60">
      <c r="A60" s="22" t="inlineStr">
        <is>
          <t>Paralysie totale</t>
        </is>
      </c>
      <c r="B60" s="23" t="inlineStr">
        <is>
          <t>−200 att/par/esq/phys ; −100 init</t>
        </is>
      </c>
    </row>
    <row r="61">
      <c r="A61" s="22" t="inlineStr">
        <is>
          <t>À terre</t>
        </is>
      </c>
      <c r="B61" s="23" t="inlineStr">
        <is>
          <t>−20 att ; contre lui +20 mêlée / −20 distance ; relever = 1 action</t>
        </is>
      </c>
    </row>
    <row r="62">
      <c r="A62" s="22" t="inlineStr">
        <is>
          <t>Inconscience</t>
        </is>
      </c>
      <c r="B62" s="23" t="inlineStr">
        <is>
          <t>sans défense, touché automatiquement ; mêlée qui touche = critique ; tombe À terre</t>
        </is>
      </c>
    </row>
    <row r="63" ht="20" customHeight="1">
      <c r="A63" s="5" t="inlineStr">
        <is>
          <t>Manœuvres (malus à l'attaque)</t>
        </is>
      </c>
      <c r="B63" s="10" t="n"/>
    </row>
    <row r="64">
      <c r="A64" s="14" t="inlineStr">
        <is>
          <t>Manœuvre</t>
        </is>
      </c>
      <c r="B64" s="14" t="inlineStr">
        <is>
          <t>Malus / effet</t>
        </is>
      </c>
    </row>
    <row r="65">
      <c r="A65" s="22" t="inlineStr">
        <is>
          <t>Blesser</t>
        </is>
      </c>
      <c r="B65" s="23" t="inlineStr">
        <is>
          <t>0 — seule manœuvre infligeant les dégâts</t>
        </is>
      </c>
    </row>
    <row r="66">
      <c r="A66" s="20" t="inlineStr">
        <is>
          <t>Agripper</t>
        </is>
      </c>
      <c r="B66" s="21" t="inlineStr">
        <is>
          <t>−40 puis lutte → cible Agrippée</t>
        </is>
      </c>
    </row>
    <row r="67">
      <c r="A67" s="22" t="inlineStr">
        <is>
          <t>Mettre à terre</t>
        </is>
      </c>
      <c r="B67" s="23" t="inlineStr">
        <is>
          <t>−40 puis lutte/équilibre → À terre</t>
        </is>
      </c>
    </row>
    <row r="68">
      <c r="A68" s="20" t="inlineStr">
        <is>
          <t>Pousser</t>
        </is>
      </c>
      <c r="B68" s="21" t="inlineStr">
        <is>
          <t>−40 puis lutte/équilibre → repoussé 2 m+</t>
        </is>
      </c>
    </row>
    <row r="69">
      <c r="A69" s="22" t="inlineStr">
        <is>
          <t>Désarmer</t>
        </is>
      </c>
      <c r="B69" s="23" t="inlineStr">
        <is>
          <t>−20 + Viser main (−60 à 1 main / −100 à 2 mains)</t>
        </is>
      </c>
    </row>
    <row r="70">
      <c r="A70" s="20" t="inlineStr">
        <is>
          <t>Maîtriser / Soumettre</t>
        </is>
      </c>
      <c r="B70" s="21" t="inlineStr">
        <is>
          <t>pas de jet d'attaque (lutte opposée)</t>
        </is>
      </c>
    </row>
    <row r="72" ht="20" customHeight="1">
      <c r="A72" s="5" t="inlineStr">
        <is>
          <t>Viser (malus à l'attaque par zone)</t>
        </is>
      </c>
      <c r="B72" s="10" t="n"/>
    </row>
    <row r="73">
      <c r="A73" s="14" t="inlineStr">
        <is>
          <t>Zone</t>
        </is>
      </c>
      <c r="B73" s="14" t="inlineStr">
        <is>
          <t>Malus</t>
        </is>
      </c>
    </row>
    <row r="74">
      <c r="A74" s="22" t="inlineStr">
        <is>
          <t>Mollet / Torse</t>
        </is>
      </c>
      <c r="B74" s="23" t="inlineStr">
        <is>
          <t>−10</t>
        </is>
      </c>
    </row>
    <row r="75">
      <c r="A75" s="20" t="inlineStr">
        <is>
          <t>Abdomen / Bras / Cuisse</t>
        </is>
      </c>
      <c r="B75" s="21" t="inlineStr">
        <is>
          <t>−20</t>
        </is>
      </c>
    </row>
    <row r="76">
      <c r="A76" s="22" t="inlineStr">
        <is>
          <t>Épaule</t>
        </is>
      </c>
      <c r="B76" s="23" t="inlineStr">
        <is>
          <t>−30</t>
        </is>
      </c>
    </row>
    <row r="77">
      <c r="A77" s="20" t="inlineStr">
        <is>
          <t>Main / Genou / Poignet</t>
        </is>
      </c>
      <c r="B77" s="21" t="inlineStr">
        <is>
          <t>−40</t>
        </is>
      </c>
    </row>
    <row r="78">
      <c r="A78" s="22" t="inlineStr">
        <is>
          <t>Pied</t>
        </is>
      </c>
      <c r="B78" s="23" t="inlineStr">
        <is>
          <t>−50</t>
        </is>
      </c>
    </row>
    <row r="79">
      <c r="A79" s="20" t="inlineStr">
        <is>
          <t>Tête / Coude / Cœur / Aine</t>
        </is>
      </c>
      <c r="B79" s="21" t="inlineStr">
        <is>
          <t>−60</t>
        </is>
      </c>
    </row>
    <row r="80">
      <c r="A80" s="22" t="inlineStr">
        <is>
          <t>Cou</t>
        </is>
      </c>
      <c r="B80" s="23" t="inlineStr">
        <is>
          <t>−80</t>
        </is>
      </c>
    </row>
    <row r="81">
      <c r="A81" s="20" t="inlineStr">
        <is>
          <t>Œil</t>
        </is>
      </c>
      <c r="B81" s="21" t="inlineStr">
        <is>
          <t>−100</t>
        </is>
      </c>
    </row>
    <row r="83" ht="20" customHeight="1">
      <c r="A83" s="5" t="inlineStr">
        <is>
          <t>Catalogue d'armes (extrait — chaque arme vaut 100 points)</t>
        </is>
      </c>
      <c r="B83" s="9" t="n"/>
      <c r="C83" s="9" t="n"/>
      <c r="D83" s="9" t="n"/>
      <c r="E83" s="10" t="n"/>
    </row>
    <row r="84">
      <c r="A84" s="14" t="inlineStr">
        <is>
          <t>Arme</t>
        </is>
      </c>
      <c r="B84" s="14" t="inlineStr">
        <is>
          <t>Dégâts faciaux</t>
        </is>
      </c>
      <c r="C84" s="14" t="inlineStr">
        <is>
          <t>Mod.</t>
        </is>
      </c>
      <c r="D84" s="14" t="inlineStr">
        <is>
          <t>Type</t>
        </is>
      </c>
      <c r="E84" s="14" t="inlineStr">
        <is>
          <t>Propriétés</t>
        </is>
      </c>
    </row>
    <row r="85">
      <c r="A85" s="22" t="inlineStr">
        <is>
          <t>Mains nues</t>
        </is>
      </c>
      <c r="B85" s="23" t="inlineStr">
        <is>
          <t>20</t>
        </is>
      </c>
      <c r="C85" s="23" t="inlineStr">
        <is>
          <t>×1 FOR</t>
        </is>
      </c>
      <c r="D85" s="23" t="inlineStr">
        <is>
          <t>CON</t>
        </is>
      </c>
      <c r="E85" s="23" t="inlineStr">
        <is>
          <t>Indésarmable</t>
        </is>
      </c>
    </row>
    <row r="86">
      <c r="A86" s="20" t="inlineStr">
        <is>
          <t>Dague</t>
        </is>
      </c>
      <c r="B86" s="21" t="inlineStr">
        <is>
          <t>30</t>
        </is>
      </c>
      <c r="C86" s="21" t="inlineStr">
        <is>
          <t>×1</t>
        </is>
      </c>
      <c r="D86" s="21" t="inlineStr">
        <is>
          <t>PER</t>
        </is>
      </c>
      <c r="E86" s="21" t="inlineStr">
        <is>
          <t>Finesse, Dissimulable, jet 10/20 m</t>
        </is>
      </c>
    </row>
    <row r="87">
      <c r="A87" s="22" t="inlineStr">
        <is>
          <t>Épée courte</t>
        </is>
      </c>
      <c r="B87" s="23" t="inlineStr">
        <is>
          <t>40</t>
        </is>
      </c>
      <c r="C87" s="23" t="inlineStr">
        <is>
          <t>×1</t>
        </is>
      </c>
      <c r="D87" s="23" t="inlineStr">
        <is>
          <t>TRA</t>
        </is>
      </c>
      <c r="E87" s="23" t="inlineStr">
        <is>
          <t>Finesse, Dégainage inst.</t>
        </is>
      </c>
    </row>
    <row r="88">
      <c r="A88" s="20" t="inlineStr">
        <is>
          <t>Épée longue</t>
        </is>
      </c>
      <c r="B88" s="21" t="inlineStr">
        <is>
          <t>30 (50)</t>
        </is>
      </c>
      <c r="C88" s="21" t="inlineStr">
        <is>
          <t>×2</t>
        </is>
      </c>
      <c r="D88" s="21" t="inlineStr">
        <is>
          <t>TRA</t>
        </is>
      </c>
      <c r="E88" s="21" t="inlineStr">
        <is>
          <t>Polyvalente</t>
        </is>
      </c>
    </row>
    <row r="89">
      <c r="A89" s="22" t="inlineStr">
        <is>
          <t>Épée à 2 mains</t>
        </is>
      </c>
      <c r="B89" s="23" t="inlineStr">
        <is>
          <t>50</t>
        </is>
      </c>
      <c r="C89" s="23" t="inlineStr">
        <is>
          <t>×3</t>
        </is>
      </c>
      <c r="D89" s="23" t="inlineStr">
        <is>
          <t>TRA</t>
        </is>
      </c>
      <c r="E89" s="23" t="inlineStr">
        <is>
          <t>Lourde</t>
        </is>
      </c>
    </row>
    <row r="90">
      <c r="A90" s="20" t="inlineStr">
        <is>
          <t>Sabre</t>
        </is>
      </c>
      <c r="B90" s="21" t="inlineStr">
        <is>
          <t>40 (60)</t>
        </is>
      </c>
      <c r="C90" s="21" t="inlineStr">
        <is>
          <t>×1</t>
        </is>
      </c>
      <c r="D90" s="21" t="inlineStr">
        <is>
          <t>TRA</t>
        </is>
      </c>
      <c r="E90" s="21" t="inlineStr">
        <is>
          <t>Légère, Polyvalente</t>
        </is>
      </c>
    </row>
    <row r="91">
      <c r="A91" s="22" t="inlineStr">
        <is>
          <t>Hache 1 main</t>
        </is>
      </c>
      <c r="B91" s="23" t="inlineStr">
        <is>
          <t>40 (60)</t>
        </is>
      </c>
      <c r="C91" s="23" t="inlineStr">
        <is>
          <t>×2</t>
        </is>
      </c>
      <c r="D91" s="23" t="inlineStr">
        <is>
          <t>TRA</t>
        </is>
      </c>
      <c r="E91" s="23" t="inlineStr">
        <is>
          <t>Polyvalente</t>
        </is>
      </c>
    </row>
    <row r="92">
      <c r="A92" s="20" t="inlineStr">
        <is>
          <t>Masse d'armes</t>
        </is>
      </c>
      <c r="B92" s="21" t="inlineStr">
        <is>
          <t>20</t>
        </is>
      </c>
      <c r="C92" s="21" t="inlineStr">
        <is>
          <t>×2</t>
        </is>
      </c>
      <c r="D92" s="21" t="inlineStr">
        <is>
          <t>CON</t>
        </is>
      </c>
      <c r="E92" s="21" t="inlineStr">
        <is>
          <t>Perce-blindage</t>
        </is>
      </c>
    </row>
    <row r="93">
      <c r="A93" s="22" t="inlineStr">
        <is>
          <t>Lance</t>
        </is>
      </c>
      <c r="B93" s="23" t="inlineStr">
        <is>
          <t>20 (40)</t>
        </is>
      </c>
      <c r="C93" s="23" t="inlineStr">
        <is>
          <t>×2</t>
        </is>
      </c>
      <c r="D93" s="23" t="inlineStr">
        <is>
          <t>PER</t>
        </is>
      </c>
      <c r="E93" s="23" t="inlineStr">
        <is>
          <t>Polyvalente, jet 10/20 m</t>
        </is>
      </c>
    </row>
    <row r="94">
      <c r="A94" s="20" t="inlineStr">
        <is>
          <t>Bâton</t>
        </is>
      </c>
      <c r="B94" s="21" t="inlineStr">
        <is>
          <t>20 (40)</t>
        </is>
      </c>
      <c r="C94" s="21" t="inlineStr">
        <is>
          <t>×1</t>
        </is>
      </c>
      <c r="D94" s="21" t="inlineStr">
        <is>
          <t>CON</t>
        </is>
      </c>
      <c r="E94" s="21" t="inlineStr">
        <is>
          <t>Polyvalente</t>
        </is>
      </c>
    </row>
    <row r="95">
      <c r="A95" s="22" t="inlineStr">
        <is>
          <t>Fouet</t>
        </is>
      </c>
      <c r="B95" s="23" t="inlineStr">
        <is>
          <t>0</t>
        </is>
      </c>
      <c r="C95" s="23" t="inlineStr">
        <is>
          <t>×1</t>
        </is>
      </c>
      <c r="D95" s="23" t="inlineStr">
        <is>
          <t>CON</t>
        </is>
      </c>
      <c r="E95" s="23" t="inlineStr">
        <is>
          <t>Allonge ×3, Désarmement, Saisie</t>
        </is>
      </c>
    </row>
    <row r="96">
      <c r="A96" s="20" t="inlineStr">
        <is>
          <t>Javelot</t>
        </is>
      </c>
      <c r="B96" s="21" t="inlineStr">
        <is>
          <t>60</t>
        </is>
      </c>
      <c r="C96" s="21" t="inlineStr">
        <is>
          <t>×1</t>
        </is>
      </c>
      <c r="D96" s="21" t="inlineStr">
        <is>
          <t>PER</t>
        </is>
      </c>
      <c r="E96" s="21" t="inlineStr">
        <is>
          <t>Fragile ; jet 40/80 m</t>
        </is>
      </c>
    </row>
    <row r="97">
      <c r="A97" s="22" t="inlineStr">
        <is>
          <t>Arc court</t>
        </is>
      </c>
      <c r="B97" s="23" t="inlineStr">
        <is>
          <t>50</t>
        </is>
      </c>
      <c r="C97" s="23" t="inlineStr">
        <is>
          <t>×1</t>
        </is>
      </c>
      <c r="D97" s="23" t="inlineStr">
        <is>
          <t>PER</t>
        </is>
      </c>
      <c r="E97" s="23" t="inlineStr">
        <is>
          <t>tir 30/90 m</t>
        </is>
      </c>
    </row>
    <row r="98">
      <c r="A98" s="20" t="inlineStr">
        <is>
          <t>Arc long</t>
        </is>
      </c>
      <c r="B98" s="21" t="inlineStr">
        <is>
          <t>60</t>
        </is>
      </c>
      <c r="C98" s="21" t="inlineStr">
        <is>
          <t>×1</t>
        </is>
      </c>
      <c r="D98" s="21" t="inlineStr">
        <is>
          <t>PER</t>
        </is>
      </c>
      <c r="E98" s="21" t="inlineStr">
        <is>
          <t>Encombrante ; tir 40/180 m</t>
        </is>
      </c>
    </row>
    <row r="99">
      <c r="A99" s="22" t="inlineStr">
        <is>
          <t>Arbalète légère</t>
        </is>
      </c>
      <c r="B99" s="23" t="inlineStr">
        <is>
          <t>140</t>
        </is>
      </c>
      <c r="C99" s="23" t="inlineStr">
        <is>
          <t>×0</t>
        </is>
      </c>
      <c r="D99" s="23" t="inlineStr">
        <is>
          <t>PER</t>
        </is>
      </c>
      <c r="E99" s="23" t="inlineStr">
        <is>
          <t>Munitions 1</t>
        </is>
      </c>
    </row>
    <row r="100">
      <c r="A100" s="20" t="inlineStr">
        <is>
          <t>Pistolet semi-auto</t>
        </is>
      </c>
      <c r="B100" s="21" t="inlineStr">
        <is>
          <t>145</t>
        </is>
      </c>
      <c r="C100" s="21" t="inlineStr">
        <is>
          <t>×0</t>
        </is>
      </c>
      <c r="D100" s="21" t="inlineStr">
        <is>
          <t>PER</t>
        </is>
      </c>
      <c r="E100" s="21" t="inlineStr">
        <is>
          <t>Dissimulable, Mun. 15</t>
        </is>
      </c>
    </row>
    <row r="101">
      <c r="A101" s="22" t="inlineStr">
        <is>
          <t>Revolver</t>
        </is>
      </c>
      <c r="B101" s="23" t="inlineStr">
        <is>
          <t>155</t>
        </is>
      </c>
      <c r="C101" s="23" t="inlineStr">
        <is>
          <t>×0</t>
        </is>
      </c>
      <c r="D101" s="23" t="inlineStr">
        <is>
          <t>PER</t>
        </is>
      </c>
      <c r="E101" s="23" t="inlineStr">
        <is>
          <t>Dégainage inst., Mun. 6</t>
        </is>
      </c>
    </row>
    <row r="102">
      <c r="A102" s="20" t="inlineStr">
        <is>
          <t>Fusil d'assaut</t>
        </is>
      </c>
      <c r="B102" s="21" t="inlineStr">
        <is>
          <t>175</t>
        </is>
      </c>
      <c r="C102" s="21" t="inlineStr">
        <is>
          <t>×0</t>
        </is>
      </c>
      <c r="D102" s="21" t="inlineStr">
        <is>
          <t>PER</t>
        </is>
      </c>
      <c r="E102" s="21" t="inlineStr">
        <is>
          <t>Rafale, Bruyante, Mun. 30</t>
        </is>
      </c>
    </row>
    <row r="103">
      <c r="A103" s="22" t="inlineStr">
        <is>
          <t>Fusil de précision</t>
        </is>
      </c>
      <c r="B103" s="23" t="inlineStr">
        <is>
          <t>215</t>
        </is>
      </c>
      <c r="C103" s="23" t="inlineStr">
        <is>
          <t>×0</t>
        </is>
      </c>
      <c r="D103" s="23" t="inlineStr">
        <is>
          <t>PER</t>
        </is>
      </c>
      <c r="E103" s="23" t="inlineStr">
        <is>
          <t>Encombr. extrême, Mun. 6</t>
        </is>
      </c>
    </row>
    <row r="104">
      <c r="A104" s="20" t="inlineStr">
        <is>
          <t>Fusil anti-matériel</t>
        </is>
      </c>
      <c r="B104" s="21" t="inlineStr">
        <is>
          <t>240</t>
        </is>
      </c>
      <c r="C104" s="21" t="inlineStr">
        <is>
          <t>×0</t>
        </is>
      </c>
      <c r="D104" s="21" t="inlineStr">
        <is>
          <t>PER</t>
        </is>
      </c>
      <c r="E104" s="21" t="inlineStr">
        <is>
          <t>Perce-blindage, Affût, Mun. 10</t>
        </is>
      </c>
    </row>
    <row r="105">
      <c r="A105" s="22" t="inlineStr">
        <is>
          <t>Grenade à main</t>
        </is>
      </c>
      <c r="B105" s="23" t="inlineStr">
        <is>
          <t>180</t>
        </is>
      </c>
      <c r="C105" s="23" t="inlineStr">
        <is>
          <t>×0</t>
        </is>
      </c>
      <c r="D105" s="23" t="inlineStr">
        <is>
          <t>CON/PER</t>
        </is>
      </c>
      <c r="E105" s="23" t="inlineStr">
        <is>
          <t>Zone 10 m, Usage unique ; jet 30 m</t>
        </is>
      </c>
    </row>
    <row r="106">
      <c r="A106" s="20" t="inlineStr">
        <is>
          <t>Lance-flammes</t>
        </is>
      </c>
      <c r="B106" s="21" t="inlineStr">
        <is>
          <t>155</t>
        </is>
      </c>
      <c r="C106" s="21" t="inlineStr">
        <is>
          <t>×0</t>
        </is>
      </c>
      <c r="D106" s="21" t="inlineStr">
        <is>
          <t>FEU</t>
        </is>
      </c>
      <c r="E106" s="21" t="inlineStr">
        <is>
          <t>Zone cône 10 m, Incendiaire, Mun. 6</t>
        </is>
      </c>
    </row>
    <row r="107">
      <c r="A107" s="22" t="inlineStr">
        <is>
          <t>Griffes</t>
        </is>
      </c>
      <c r="B107" s="23" t="inlineStr">
        <is>
          <t>40</t>
        </is>
      </c>
      <c r="C107" s="23" t="inlineStr">
        <is>
          <t>×1</t>
        </is>
      </c>
      <c r="D107" s="23" t="inlineStr">
        <is>
          <t>TRA</t>
        </is>
      </c>
      <c r="E107" s="23" t="inlineStr">
        <is>
          <t>Finesse, Mains libres</t>
        </is>
      </c>
    </row>
    <row r="108">
      <c r="A108" s="20" t="inlineStr">
        <is>
          <t>Sai / Jutte</t>
        </is>
      </c>
      <c r="B108" s="21" t="inlineStr">
        <is>
          <t>60</t>
        </is>
      </c>
      <c r="C108" s="21" t="inlineStr">
        <is>
          <t>×1</t>
        </is>
      </c>
      <c r="D108" s="21" t="inlineStr">
        <is>
          <t>CON</t>
        </is>
      </c>
      <c r="E108" s="21" t="inlineStr">
        <is>
          <t>Désarmement</t>
        </is>
      </c>
    </row>
    <row r="110">
      <c r="A110" s="16" t="inlineStr">
        <is>
          <t>Toutes les valeurs proviennent du livre. Feuille purement consultative.</t>
        </is>
      </c>
    </row>
  </sheetData>
  <mergeCells count="10">
    <mergeCell ref="A83:E83"/>
    <mergeCell ref="A36:C36"/>
    <mergeCell ref="A72:B72"/>
    <mergeCell ref="A29:B29"/>
    <mergeCell ref="A63:B63"/>
    <mergeCell ref="A19:D19"/>
    <mergeCell ref="A1:H1"/>
    <mergeCell ref="A3:B3"/>
    <mergeCell ref="A53:B53"/>
    <mergeCell ref="A43:F4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2026-06-27T17:21:11Z</dcterms:created>
  <dcterms:modified xsi:type="dcterms:W3CDTF">2026-07-01T17:42:01Z</dcterms:modified>
</cp:coreProperties>
</file>